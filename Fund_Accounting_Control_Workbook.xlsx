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nds" sheetId="2" state="visible" r:id="rId2"/>
    <sheet xmlns:r="http://schemas.openxmlformats.org/officeDocument/2006/relationships" name="Securities" sheetId="3" state="visible" r:id="rId3"/>
    <sheet xmlns:r="http://schemas.openxmlformats.org/officeDocument/2006/relationships" name="Opening_Holding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rice_Matrix" sheetId="6" state="visible" r:id="rId6"/>
    <sheet xmlns:r="http://schemas.openxmlformats.org/officeDocument/2006/relationships" name="Holdings_EOD" sheetId="7" state="visible" r:id="rId7"/>
    <sheet xmlns:r="http://schemas.openxmlformats.org/officeDocument/2006/relationships" name="NAV_Calc" sheetId="8" state="visible" r:id="rId8"/>
    <sheet xmlns:r="http://schemas.openxmlformats.org/officeDocument/2006/relationships" name="ChartData" sheetId="9" state="visible" r:id="rId9"/>
    <sheet xmlns:r="http://schemas.openxmlformats.org/officeDocument/2006/relationships" name="Recon_Holdings" sheetId="10" state="visible" r:id="rId10"/>
    <sheet xmlns:r="http://schemas.openxmlformats.org/officeDocument/2006/relationships" name="Recon_Cash" sheetId="11" state="visible" r:id="rId11"/>
    <sheet xmlns:r="http://schemas.openxmlformats.org/officeDocument/2006/relationships" name="Recon_NAV" sheetId="12" state="visible" r:id="rId12"/>
    <sheet xmlns:r="http://schemas.openxmlformats.org/officeDocument/2006/relationships" name="Recon_Breaks" sheetId="13" state="visible" r:id="rId13"/>
    <sheet xmlns:r="http://schemas.openxmlformats.org/officeDocument/2006/relationships" name="Control_Pane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-mmm-yyyy"/>
    <numFmt numFmtId="166" formatCode="&quot;₹&quot;#,##0.00&quot; Cr&quot;"/>
    <numFmt numFmtId="167" formatCode="0.0000"/>
    <numFmt numFmtId="168" formatCode="&quot;₹&quot;#,##0"/>
    <numFmt numFmtId="169" formatCode="#,##0.0000"/>
    <numFmt numFmtId="170" formatCode="&quot;₹&quot;#,##0.00"/>
    <numFmt numFmtId="171" formatCode="dd-mmm"/>
    <numFmt numFmtId="172" formatCode="0.0000%"/>
    <numFmt numFmtId="173" formatCode="#,##0.00####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sz val="10"/>
    </font>
    <font>
      <b val="1"/>
      <color rgb="002E75B6"/>
      <sz val="11"/>
    </font>
    <font>
      <b val="1"/>
      <color rgb="00595959"/>
      <sz val="9"/>
    </font>
    <font>
      <b val="1"/>
      <color rgb="001F2A44"/>
      <sz val="16"/>
    </font>
    <font>
      <color rgb="00808080"/>
      <sz val="8"/>
    </font>
    <font>
      <b val="1"/>
      <color rgb="00FFFFFF"/>
      <sz val="10"/>
    </font>
    <font>
      <b val="1"/>
    </font>
    <font>
      <b val="1"/>
      <sz val="9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5" fillId="4" borderId="1" applyAlignment="1" pivotButton="0" quotePrefix="0" xfId="0">
      <alignment horizontal="center"/>
    </xf>
    <xf numFmtId="0" fontId="0" fillId="3" borderId="1" pivotButton="0" quotePrefix="0" xfId="0"/>
    <xf numFmtId="166" fontId="6" fillId="3" borderId="1" applyAlignment="1" pivotButton="0" quotePrefix="0" xfId="0">
      <alignment horizontal="center"/>
    </xf>
    <xf numFmtId="167" fontId="6" fillId="3" borderId="1" applyAlignment="1" pivotButton="0" quotePrefix="0" xfId="0">
      <alignment horizontal="center"/>
    </xf>
    <xf numFmtId="10" fontId="6" fillId="3" borderId="1" applyAlignment="1" pivotButton="0" quotePrefix="0" xfId="0">
      <alignment horizontal="center"/>
    </xf>
    <xf numFmtId="1" fontId="6" fillId="3" borderId="1" applyAlignment="1" pivotButton="0" quotePrefix="0" xfId="0">
      <alignment horizontal="center"/>
    </xf>
    <xf numFmtId="49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11" fillId="5" borderId="0" pivotButton="0" quotePrefix="0" xfId="0"/>
    <xf numFmtId="0" fontId="10" fillId="4" borderId="1" pivotButton="0" quotePrefix="0" xfId="0"/>
    <xf numFmtId="0" fontId="12" fillId="0" borderId="1" pivotButton="0" quotePrefix="0" xfId="0"/>
    <xf numFmtId="168" fontId="12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8" fillId="2" borderId="0" pivotButton="0" quotePrefix="0" xfId="0"/>
    <xf numFmtId="171" fontId="8" fillId="2" borderId="0" applyAlignment="1" pivotButton="0" quotePrefix="0" xfId="0">
      <alignment horizontal="center"/>
    </xf>
    <xf numFmtId="0" fontId="9" fillId="0" borderId="0" pivotButton="0" quotePrefix="0" xfId="0"/>
    <xf numFmtId="172" fontId="0" fillId="0" borderId="0" pivotButton="0" quotePrefix="0" xfId="0"/>
    <xf numFmtId="171" fontId="0" fillId="0" borderId="0" pivotButton="0" quotePrefix="0" xfId="0"/>
    <xf numFmtId="2" fontId="0" fillId="0" borderId="0" pivotButton="0" quotePrefix="0" xfId="0"/>
    <xf numFmtId="0" fontId="10" fillId="0" borderId="0" pivotButton="0" quotePrefix="0" xfId="0"/>
    <xf numFmtId="173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NAV Trend - Last 30 Business Days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'ChartData'!B4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'ChartData'!$A$5:$A$34</f>
            </numRef>
          </cat>
          <val>
            <numRef>
              <f>'ChartData'!$B$5:$B$34</f>
            </numRef>
          </val>
          <smooth val="0"/>
        </ser>
        <ser>
          <idx val="1"/>
          <order val="1"/>
          <tx>
            <strRef>
              <f>'ChartData'!C4</f>
            </strRef>
          </tx>
          <spPr>
            <a:ln xmlns:a="http://schemas.openxmlformats.org/drawingml/2006/main" w="20000">
              <a:solidFill>
                <a:srgbClr val="00A9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'ChartData'!$A$5:$A$34</f>
            </numRef>
          </cat>
          <val>
            <numRef>
              <f>'ChartData'!$C$5:$C$34</f>
            </numRef>
          </val>
          <smooth val="0"/>
        </ser>
        <ser>
          <idx val="2"/>
          <order val="2"/>
          <tx>
            <strRef>
              <f>'ChartData'!D4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'ChartData'!$A$5:$A$34</f>
            </numRef>
          </cat>
          <val>
            <numRef>
              <f>'ChartData'!$D$5:$D$34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NAV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AUM by Fund (INR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'ChartData'!G4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'ChartData'!$F$5:$F$7</f>
            </numRef>
          </cat>
          <val>
            <numRef>
              <f>'ChartData'!$G$5:$G$7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Reconciliation Status</a:t>
            </a:r>
          </a:p>
        </rich>
      </tx>
    </title>
    <plotArea>
      <pieChart>
        <varyColors val="1"/>
        <ser>
          <idx val="0"/>
          <order val="0"/>
          <tx>
            <strRef>
              <f>'ChartData'!J4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'ChartData'!$I$5:$I$6</f>
            </numRef>
          </cat>
          <val>
            <numRef>
              <f>'ChartData'!$J$5:$J$6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8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270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9</row>
      <rowOff>0</rowOff>
    </from>
    <ext cx="270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" t="inlineStr">
        <is>
          <t>FUND ACCOUNTING  |  NAV &amp; RECONCILIATION CONTROL DASHBOARD</t>
        </is>
      </c>
    </row>
    <row r="2" ht="16" customHeight="1">
      <c r="A2" s="2" t="inlineStr">
        <is>
          <t>Excel / VBA control panel  -  Fund Accounting NAV &amp; Reconciliation Control Engine</t>
        </is>
      </c>
    </row>
    <row r="4">
      <c r="B4" s="3" t="inlineStr">
        <is>
          <t>As on (IST) -&gt;</t>
        </is>
      </c>
      <c r="C4" s="4" t="n">
        <v>46301</v>
      </c>
      <c r="E4" s="2" t="inlineStr">
        <is>
          <t>Schemes: 3   |   Window: last 30 business days   |   Source: SQL + Python engine</t>
        </is>
      </c>
    </row>
    <row r="6">
      <c r="A6" s="5" t="inlineStr">
        <is>
          <t>TOTAL AUM</t>
        </is>
      </c>
      <c r="B6" s="6" t="n"/>
      <c r="C6" s="5" t="inlineStr">
        <is>
          <t>WTD AVG NAV</t>
        </is>
      </c>
      <c r="D6" s="6" t="n"/>
      <c r="E6" s="5" t="inlineStr">
        <is>
          <t>RECON MATCH RATE</t>
        </is>
      </c>
      <c r="F6" s="6" t="n"/>
      <c r="G6" s="5" t="inlineStr">
        <is>
          <t>OPEN BREAKS</t>
        </is>
      </c>
      <c r="H6" s="6" t="n"/>
      <c r="I6" s="5" t="inlineStr">
        <is>
          <t>SLA BREACHES</t>
        </is>
      </c>
      <c r="J6" s="6" t="n"/>
      <c r="K6" s="5" t="inlineStr">
        <is>
          <t>CONTROLS PASSED</t>
        </is>
      </c>
      <c r="L6" s="6" t="n"/>
    </row>
    <row r="7" ht="26" customHeight="1">
      <c r="A7" s="7">
        <f>SUMIFS(NAV_Calc!$Q:$Q,NAV_Calc!$A:$A,$C$4)/10000000</f>
        <v/>
      </c>
      <c r="B7" s="6" t="n"/>
      <c r="C7" s="8">
        <f>SUMPRODUCT((NAV_Calc!$A$5:$A$94=$C$4)*NAV_Calc!$R$5:$R$94,NAV_Calc!$Q$5:$Q$94)/SUMIFS(NAV_Calc!$Q:$Q,NAV_Calc!$A:$A,$C$4)</f>
        <v/>
      </c>
      <c r="D7" s="6" t="n"/>
      <c r="E7" s="9">
        <f>ChartData!$J$5/(ChartData!$J$5+ChartData!$J$6)</f>
        <v/>
      </c>
      <c r="F7" s="6" t="n"/>
      <c r="G7" s="10">
        <f>COUNTIF(Recon_Breaks!$P$5:$P$9,"OPEN")</f>
        <v/>
      </c>
      <c r="H7" s="6" t="n"/>
      <c r="I7" s="10">
        <f>COUNTIF(Recon_Breaks!$N$5:$N$9,"SLA_BREACH")</f>
        <v/>
      </c>
      <c r="J7" s="6" t="n"/>
      <c r="K7" s="11">
        <f>COUNTIF(Control_Panel!$F$5:$F$9,"PASS")&amp;" / 5"</f>
        <v/>
      </c>
      <c r="L7" s="6" t="n"/>
    </row>
    <row r="8">
      <c r="A8" s="12" t="inlineStr">
        <is>
          <t>3 schemes</t>
        </is>
      </c>
      <c r="B8" s="6" t="n"/>
      <c r="C8" s="12" t="inlineStr">
        <is>
          <t>AUM-weighted</t>
        </is>
      </c>
      <c r="D8" s="6" t="n"/>
      <c r="E8" s="12" t="inlineStr">
        <is>
          <t>110 items checked</t>
        </is>
      </c>
      <c r="F8" s="6" t="n"/>
      <c r="G8" s="12" t="inlineStr">
        <is>
          <t>across 3 sources</t>
        </is>
      </c>
      <c r="H8" s="6" t="n"/>
      <c r="I8" s="12" t="inlineStr">
        <is>
          <t>T+1 resolution SLA</t>
        </is>
      </c>
      <c r="J8" s="6" t="n"/>
      <c r="K8" s="12" t="inlineStr">
        <is>
          <t>CHK01 - CHK05</t>
        </is>
      </c>
      <c r="L8" s="6" t="n"/>
    </row>
    <row r="30">
      <c r="A30" s="13" t="inlineStr">
        <is>
          <t>TOP OPEN BREAKS (live from Recon_Breaks)</t>
        </is>
      </c>
    </row>
    <row r="31">
      <c r="A31" s="14" t="inlineStr">
        <is>
          <t>Break ID</t>
        </is>
      </c>
      <c r="B31" s="14" t="inlineStr">
        <is>
          <t>Fund</t>
        </is>
      </c>
      <c r="C31" s="14" t="inlineStr">
        <is>
          <t>Source</t>
        </is>
      </c>
      <c r="D31" s="14" t="inlineStr">
        <is>
          <t>Type</t>
        </is>
      </c>
      <c r="E31" s="14" t="inlineStr">
        <is>
          <t>Age (d)</t>
        </is>
      </c>
      <c r="F31" s="14" t="inlineStr">
        <is>
          <t>Impact</t>
        </is>
      </c>
      <c r="G31" s="14" t="inlineStr">
        <is>
          <t>SLA</t>
        </is>
      </c>
    </row>
    <row r="32">
      <c r="A32" s="15">
        <f>Recon_Breaks!A5</f>
        <v/>
      </c>
      <c r="B32" s="15">
        <f>Recon_Breaks!B5</f>
        <v/>
      </c>
      <c r="C32" s="15">
        <f>Recon_Breaks!C5</f>
        <v/>
      </c>
      <c r="D32" s="15">
        <f>Recon_Breaks!D5</f>
        <v/>
      </c>
      <c r="E32" s="15">
        <f>Recon_Breaks!E5</f>
        <v/>
      </c>
      <c r="F32" s="16">
        <f>Recon_Breaks!F5</f>
        <v/>
      </c>
      <c r="G32" s="15">
        <f>Recon_Breaks!G5</f>
        <v/>
      </c>
    </row>
    <row r="33">
      <c r="A33" s="15">
        <f>Recon_Breaks!A6</f>
        <v/>
      </c>
      <c r="B33" s="15">
        <f>Recon_Breaks!B6</f>
        <v/>
      </c>
      <c r="C33" s="15">
        <f>Recon_Breaks!C6</f>
        <v/>
      </c>
      <c r="D33" s="15">
        <f>Recon_Breaks!D6</f>
        <v/>
      </c>
      <c r="E33" s="15">
        <f>Recon_Breaks!E6</f>
        <v/>
      </c>
      <c r="F33" s="16">
        <f>Recon_Breaks!F6</f>
        <v/>
      </c>
      <c r="G33" s="15">
        <f>Recon_Breaks!G6</f>
        <v/>
      </c>
    </row>
    <row r="34">
      <c r="A34" s="15">
        <f>Recon_Breaks!A7</f>
        <v/>
      </c>
      <c r="B34" s="15">
        <f>Recon_Breaks!B7</f>
        <v/>
      </c>
      <c r="C34" s="15">
        <f>Recon_Breaks!C7</f>
        <v/>
      </c>
      <c r="D34" s="15">
        <f>Recon_Breaks!D7</f>
        <v/>
      </c>
      <c r="E34" s="15">
        <f>Recon_Breaks!E7</f>
        <v/>
      </c>
      <c r="F34" s="16">
        <f>Recon_Breaks!F7</f>
        <v/>
      </c>
      <c r="G34" s="15">
        <f>Recon_Breaks!G7</f>
        <v/>
      </c>
    </row>
    <row r="35">
      <c r="A35" s="15">
        <f>Recon_Breaks!A8</f>
        <v/>
      </c>
      <c r="B35" s="15">
        <f>Recon_Breaks!B8</f>
        <v/>
      </c>
      <c r="C35" s="15">
        <f>Recon_Breaks!C8</f>
        <v/>
      </c>
      <c r="D35" s="15">
        <f>Recon_Breaks!D8</f>
        <v/>
      </c>
      <c r="E35" s="15">
        <f>Recon_Breaks!E8</f>
        <v/>
      </c>
      <c r="F35" s="16">
        <f>Recon_Breaks!F8</f>
        <v/>
      </c>
      <c r="G35" s="15">
        <f>Recon_Breaks!G8</f>
        <v/>
      </c>
    </row>
    <row r="36">
      <c r="A36" s="15">
        <f>Recon_Breaks!A9</f>
        <v/>
      </c>
      <c r="B36" s="15">
        <f>Recon_Breaks!B9</f>
        <v/>
      </c>
      <c r="C36" s="15">
        <f>Recon_Breaks!C9</f>
        <v/>
      </c>
      <c r="D36" s="15">
        <f>Recon_Breaks!D9</f>
        <v/>
      </c>
      <c r="E36" s="15">
        <f>Recon_Breaks!E9</f>
        <v/>
      </c>
      <c r="F36" s="16">
        <f>Recon_Breaks!F9</f>
        <v/>
      </c>
      <c r="G36" s="15">
        <f>Recon_Breaks!G9</f>
        <v/>
      </c>
    </row>
    <row r="38">
      <c r="A38" s="2" t="inlineStr">
        <is>
          <t>VBA: press Alt+F8 -&gt; RunReconciliation / RefreshAllData / ExportOpenBreaksCSV  (modules in vba/*.bas - see README_VBA_Setup.md)</t>
        </is>
      </c>
    </row>
  </sheetData>
  <mergeCells count="22">
    <mergeCell ref="C6:D6"/>
    <mergeCell ref="I6:J6"/>
    <mergeCell ref="G8:H8"/>
    <mergeCell ref="E8:F8"/>
    <mergeCell ref="A6:B6"/>
    <mergeCell ref="A2:O2"/>
    <mergeCell ref="A7:B7"/>
    <mergeCell ref="G7:H7"/>
    <mergeCell ref="I7:J7"/>
    <mergeCell ref="A30:G30"/>
    <mergeCell ref="G6:H6"/>
    <mergeCell ref="E6:F6"/>
    <mergeCell ref="A38:O38"/>
    <mergeCell ref="K8:L8"/>
    <mergeCell ref="I8:J8"/>
    <mergeCell ref="A8:B8"/>
    <mergeCell ref="C8:D8"/>
    <mergeCell ref="K7:L7"/>
    <mergeCell ref="C7:D7"/>
    <mergeCell ref="E7:F7"/>
    <mergeCell ref="A1:O1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3" customWidth="1" min="5" max="5"/>
    <col width="15" customWidth="1" min="6" max="6"/>
    <col width="20" customWidth="1" min="7" max="7"/>
  </cols>
  <sheetData>
    <row r="1" ht="30" customHeight="1">
      <c r="A1" s="1" t="inlineStr">
        <is>
          <t>FUND MASTER</t>
        </is>
      </c>
    </row>
    <row r="2" ht="16" customHeight="1">
      <c r="A2" s="2" t="inlineStr">
        <is>
          <t>Source: config / fundctl.Funds (SQL)</t>
        </is>
      </c>
    </row>
    <row r="4">
      <c r="A4" s="17" t="inlineStr">
        <is>
          <t>fund_code</t>
        </is>
      </c>
      <c r="B4" s="17" t="inlineStr">
        <is>
          <t>fund_name</t>
        </is>
      </c>
      <c r="C4" s="17" t="inlineStr">
        <is>
          <t>category</t>
        </is>
      </c>
      <c r="D4" s="17" t="inlineStr">
        <is>
          <t>mgmt_fee_bps</t>
        </is>
      </c>
      <c r="E4" s="17" t="inlineStr">
        <is>
          <t>opening_nav</t>
        </is>
      </c>
      <c r="F4" s="17" t="inlineStr">
        <is>
          <t>opening_units</t>
        </is>
      </c>
      <c r="G4" s="17" t="inlineStr">
        <is>
          <t>opening_cash (formula)</t>
        </is>
      </c>
    </row>
    <row r="5">
      <c r="A5" t="inlineStr">
        <is>
          <t>ALPHA_EQ</t>
        </is>
      </c>
      <c r="B5" t="inlineStr">
        <is>
          <t>Alpha Equity Fund</t>
        </is>
      </c>
      <c r="C5" t="inlineStr">
        <is>
          <t>Equity</t>
        </is>
      </c>
      <c r="D5" t="n">
        <v>150</v>
      </c>
      <c r="E5" s="18" t="n">
        <v>10</v>
      </c>
      <c r="F5" s="19" t="n">
        <v>10000000</v>
      </c>
      <c r="G5" s="20">
        <f>E5*F5-SUMIF(Opening_Holdings!$A$5:$A$21,A5,Opening_Holdings!$E$5:$E$21)</f>
        <v/>
      </c>
    </row>
    <row r="6">
      <c r="A6" t="inlineStr">
        <is>
          <t>BETA_DEBT</t>
        </is>
      </c>
      <c r="B6" t="inlineStr">
        <is>
          <t>Beta Debt Fund</t>
        </is>
      </c>
      <c r="C6" t="inlineStr">
        <is>
          <t>Debt</t>
        </is>
      </c>
      <c r="D6" t="n">
        <v>75</v>
      </c>
      <c r="E6" s="18" t="n">
        <v>10</v>
      </c>
      <c r="F6" s="19" t="n">
        <v>20000000</v>
      </c>
      <c r="G6" s="20">
        <f>E6*F6-SUMIF(Opening_Holdings!$A$5:$A$21,A6,Opening_Holdings!$E$5:$E$21)</f>
        <v/>
      </c>
    </row>
    <row r="7">
      <c r="A7" t="inlineStr">
        <is>
          <t>GAMMA_BAL</t>
        </is>
      </c>
      <c r="B7" t="inlineStr">
        <is>
          <t>Gamma Balanced Fund</t>
        </is>
      </c>
      <c r="C7" t="inlineStr">
        <is>
          <t>Hybrid</t>
        </is>
      </c>
      <c r="D7" t="n">
        <v>125</v>
      </c>
      <c r="E7" s="18" t="n">
        <v>10</v>
      </c>
      <c r="F7" s="19" t="n">
        <v>15000000</v>
      </c>
      <c r="G7" s="20">
        <f>E7*F7-SUMIF(Opening_Holdings!$A$5:$A$21,A7,Opening_Holdings!$E$5:$E$21)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0" customWidth="1" min="4" max="4"/>
    <col width="12" customWidth="1" min="5" max="5"/>
    <col width="11" customWidth="1" min="6" max="6"/>
  </cols>
  <sheetData>
    <row r="1" ht="30" customHeight="1">
      <c r="A1" s="1" t="inlineStr">
        <is>
          <t>SECURITY MASTER</t>
        </is>
      </c>
    </row>
    <row r="2" ht="16" customHeight="1">
      <c r="A2" s="2" t="inlineStr">
        <is>
          <t>Source: config / fundctl.Securities (SQL)</t>
        </is>
      </c>
    </row>
    <row r="4">
      <c r="A4" s="17" t="inlineStr">
        <is>
          <t>symbol</t>
        </is>
      </c>
      <c r="B4" s="17" t="inlineStr">
        <is>
          <t>security_name</t>
        </is>
      </c>
      <c r="C4" s="17" t="inlineStr">
        <is>
          <t>sector</t>
        </is>
      </c>
      <c r="D4" s="17" t="inlineStr">
        <is>
          <t>asset_type</t>
        </is>
      </c>
      <c r="E4" s="17" t="inlineStr">
        <is>
          <t>base_price</t>
        </is>
      </c>
      <c r="F4" s="17" t="inlineStr">
        <is>
          <t>face_value</t>
        </is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Equity</t>
        </is>
      </c>
      <c r="E5" s="21" t="n">
        <v>1650</v>
      </c>
      <c r="F5" t="n">
        <v>100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Equity</t>
        </is>
      </c>
      <c r="E6" s="21" t="n">
        <v>1250</v>
      </c>
      <c r="F6" t="n">
        <v>100</v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IT</t>
        </is>
      </c>
      <c r="D7" t="inlineStr">
        <is>
          <t>Equity</t>
        </is>
      </c>
      <c r="E7" s="21" t="n">
        <v>1550</v>
      </c>
      <c r="F7" t="n">
        <v>100</v>
      </c>
    </row>
    <row r="8">
      <c r="A8" t="inlineStr">
        <is>
          <t>TCS</t>
        </is>
      </c>
      <c r="B8" t="inlineStr">
        <is>
          <t>Tata Consultancy Svcs</t>
        </is>
      </c>
      <c r="C8" t="inlineStr">
        <is>
          <t>IT</t>
        </is>
      </c>
      <c r="D8" t="inlineStr">
        <is>
          <t>Equity</t>
        </is>
      </c>
      <c r="E8" s="21" t="n">
        <v>3600</v>
      </c>
      <c r="F8" t="n">
        <v>100</v>
      </c>
    </row>
    <row r="9">
      <c r="A9" t="inlineStr">
        <is>
          <t>RELIANCE</t>
        </is>
      </c>
      <c r="B9" t="inlineStr">
        <is>
          <t>Reliance Industries</t>
        </is>
      </c>
      <c r="C9" t="inlineStr">
        <is>
          <t>Energy</t>
        </is>
      </c>
      <c r="D9" t="inlineStr">
        <is>
          <t>Equity</t>
        </is>
      </c>
      <c r="E9" s="21" t="n">
        <v>1350</v>
      </c>
      <c r="F9" t="n">
        <v>100</v>
      </c>
    </row>
    <row r="10">
      <c r="A10" t="inlineStr">
        <is>
          <t>ITC</t>
        </is>
      </c>
      <c r="B10" t="inlineStr">
        <is>
          <t>ITC Ltd</t>
        </is>
      </c>
      <c r="C10" t="inlineStr">
        <is>
          <t>FMCG</t>
        </is>
      </c>
      <c r="D10" t="inlineStr">
        <is>
          <t>Equity</t>
        </is>
      </c>
      <c r="E10" s="21" t="n">
        <v>480</v>
      </c>
      <c r="F10" t="n">
        <v>100</v>
      </c>
    </row>
    <row r="11">
      <c r="A11" t="inlineStr">
        <is>
          <t>SBIN</t>
        </is>
      </c>
      <c r="B11" t="inlineStr">
        <is>
          <t>State Bank of India</t>
        </is>
      </c>
      <c r="C11" t="inlineStr">
        <is>
          <t>Financials</t>
        </is>
      </c>
      <c r="D11" t="inlineStr">
        <is>
          <t>Equity</t>
        </is>
      </c>
      <c r="E11" s="21" t="n">
        <v>620</v>
      </c>
      <c r="F11" t="n">
        <v>100</v>
      </c>
    </row>
    <row r="12">
      <c r="A12" t="inlineStr">
        <is>
          <t>LT</t>
        </is>
      </c>
      <c r="B12" t="inlineStr">
        <is>
          <t>Larsen &amp; Toubro</t>
        </is>
      </c>
      <c r="C12" t="inlineStr">
        <is>
          <t>Infra</t>
        </is>
      </c>
      <c r="D12" t="inlineStr">
        <is>
          <t>Equity</t>
        </is>
      </c>
      <c r="E12" s="21" t="n">
        <v>2400</v>
      </c>
      <c r="F12" t="n">
        <v>100</v>
      </c>
    </row>
    <row r="13">
      <c r="A13" t="inlineStr">
        <is>
          <t>MARUTI</t>
        </is>
      </c>
      <c r="B13" t="inlineStr">
        <is>
          <t>Maruti Suzuki India</t>
        </is>
      </c>
      <c r="C13" t="inlineStr">
        <is>
          <t>Auto</t>
        </is>
      </c>
      <c r="D13" t="inlineStr">
        <is>
          <t>Equity</t>
        </is>
      </c>
      <c r="E13" s="21" t="n">
        <v>1800</v>
      </c>
      <c r="F13" t="n">
        <v>100</v>
      </c>
    </row>
    <row r="14">
      <c r="A14" t="inlineStr">
        <is>
          <t>HINDUNILVR</t>
        </is>
      </c>
      <c r="B14" t="inlineStr">
        <is>
          <t>Hindustan Unilever</t>
        </is>
      </c>
      <c r="C14" t="inlineStr">
        <is>
          <t>FMCG</t>
        </is>
      </c>
      <c r="D14" t="inlineStr">
        <is>
          <t>Equity</t>
        </is>
      </c>
      <c r="E14" s="21" t="n">
        <v>2600</v>
      </c>
      <c r="F14" t="n">
        <v>100</v>
      </c>
    </row>
    <row r="15">
      <c r="A15" t="inlineStr">
        <is>
          <t>GOI7.26-36</t>
        </is>
      </c>
      <c r="B15" t="inlineStr">
        <is>
          <t>GOI 7.26% 2036</t>
        </is>
      </c>
      <c r="C15" t="inlineStr">
        <is>
          <t>G-Sec</t>
        </is>
      </c>
      <c r="D15" t="inlineStr">
        <is>
          <t>Debt</t>
        </is>
      </c>
      <c r="E15" s="21" t="n">
        <v>102</v>
      </c>
      <c r="F15" t="n">
        <v>100</v>
      </c>
    </row>
    <row r="16">
      <c r="A16" t="inlineStr">
        <is>
          <t>GOI8.2-33</t>
        </is>
      </c>
      <c r="B16" t="inlineStr">
        <is>
          <t>GOI 8.20% 2033</t>
        </is>
      </c>
      <c r="C16" t="inlineStr">
        <is>
          <t>G-Sec</t>
        </is>
      </c>
      <c r="D16" t="inlineStr">
        <is>
          <t>Debt</t>
        </is>
      </c>
      <c r="E16" s="21" t="n">
        <v>108.5</v>
      </c>
      <c r="F16" t="n">
        <v>100</v>
      </c>
    </row>
    <row r="17">
      <c r="A17" t="inlineStr">
        <is>
          <t>SDL-MH-32</t>
        </is>
      </c>
      <c r="B17" t="inlineStr">
        <is>
          <t>SDL Maharashtra 2032</t>
        </is>
      </c>
      <c r="C17" t="inlineStr">
        <is>
          <t>SDL</t>
        </is>
      </c>
      <c r="D17" t="inlineStr">
        <is>
          <t>Debt</t>
        </is>
      </c>
      <c r="E17" s="21" t="n">
        <v>101.5</v>
      </c>
      <c r="F17" t="n">
        <v>100</v>
      </c>
    </row>
    <row r="18">
      <c r="A18" t="inlineStr">
        <is>
          <t>CP-TATA</t>
        </is>
      </c>
      <c r="B18" t="inlineStr">
        <is>
          <t>Tata Motors CP 90D</t>
        </is>
      </c>
      <c r="C18" t="inlineStr">
        <is>
          <t>Money Mkt</t>
        </is>
      </c>
      <c r="D18" t="inlineStr">
        <is>
          <t>Debt</t>
        </is>
      </c>
      <c r="E18" s="21" t="n">
        <v>99.8</v>
      </c>
      <c r="F18" t="n">
        <v>100</v>
      </c>
    </row>
    <row r="19">
      <c r="A19" t="inlineStr">
        <is>
          <t>NCD-REL</t>
        </is>
      </c>
      <c r="B19" t="inlineStr">
        <is>
          <t>Reliance NCD 9.10%</t>
        </is>
      </c>
      <c r="C19" t="inlineStr">
        <is>
          <t>Corporate</t>
        </is>
      </c>
      <c r="D19" t="inlineStr">
        <is>
          <t>Debt</t>
        </is>
      </c>
      <c r="E19" s="21" t="n">
        <v>1005</v>
      </c>
      <c r="F19" t="n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8" customWidth="1" min="5" max="5"/>
  </cols>
  <sheetData>
    <row r="1" ht="30" customHeight="1">
      <c r="A1" s="1" t="inlineStr">
        <is>
          <t>OPENING POSITIONS (T-30)</t>
        </is>
      </c>
    </row>
    <row r="2" ht="16" customHeight="1">
      <c r="A2" s="2" t="inlineStr">
        <is>
          <t>Value = qty x base price (live formulas)</t>
        </is>
      </c>
    </row>
    <row r="4">
      <c r="A4" s="17" t="inlineStr">
        <is>
          <t>fund_code</t>
        </is>
      </c>
      <c r="B4" s="17" t="inlineStr">
        <is>
          <t>symbol</t>
        </is>
      </c>
      <c r="C4" s="17" t="inlineStr">
        <is>
          <t>qty</t>
        </is>
      </c>
      <c r="D4" s="17" t="inlineStr">
        <is>
          <t>base_price (VLOOKUP)</t>
        </is>
      </c>
      <c r="E4" s="17" t="inlineStr">
        <is>
          <t>value (formula)</t>
        </is>
      </c>
    </row>
    <row r="5">
      <c r="A5" t="inlineStr">
        <is>
          <t>ALPHA_EQ</t>
        </is>
      </c>
      <c r="B5" t="inlineStr">
        <is>
          <t>HDFCBANK</t>
        </is>
      </c>
      <c r="C5" s="19" t="n">
        <v>15200</v>
      </c>
      <c r="D5" s="21">
        <f>VLOOKUP($B5,Securities!$A$5:$E$19,5,FALSE)</f>
        <v/>
      </c>
      <c r="E5" s="20">
        <f>C5*D5</f>
        <v/>
      </c>
    </row>
    <row r="6">
      <c r="A6" t="inlineStr">
        <is>
          <t>ALPHA_EQ</t>
        </is>
      </c>
      <c r="B6" t="inlineStr">
        <is>
          <t>ICICIBANK</t>
        </is>
      </c>
      <c r="C6" s="19" t="n">
        <v>16000</v>
      </c>
      <c r="D6" s="21">
        <f>VLOOKUP($B6,Securities!$A$5:$E$19,5,FALSE)</f>
        <v/>
      </c>
      <c r="E6" s="20">
        <f>C6*D6</f>
        <v/>
      </c>
    </row>
    <row r="7">
      <c r="A7" t="inlineStr">
        <is>
          <t>ALPHA_EQ</t>
        </is>
      </c>
      <c r="B7" t="inlineStr">
        <is>
          <t>INFY</t>
        </is>
      </c>
      <c r="C7" s="19" t="n">
        <v>9700</v>
      </c>
      <c r="D7" s="21">
        <f>VLOOKUP($B7,Securities!$A$5:$E$19,5,FALSE)</f>
        <v/>
      </c>
      <c r="E7" s="20">
        <f>C7*D7</f>
        <v/>
      </c>
    </row>
    <row r="8">
      <c r="A8" t="inlineStr">
        <is>
          <t>ALPHA_EQ</t>
        </is>
      </c>
      <c r="B8" t="inlineStr">
        <is>
          <t>TCS</t>
        </is>
      </c>
      <c r="C8" s="19" t="n">
        <v>4200</v>
      </c>
      <c r="D8" s="21">
        <f>VLOOKUP($B8,Securities!$A$5:$E$19,5,FALSE)</f>
        <v/>
      </c>
      <c r="E8" s="20">
        <f>C8*D8</f>
        <v/>
      </c>
    </row>
    <row r="9">
      <c r="A9" t="inlineStr">
        <is>
          <t>ALPHA_EQ</t>
        </is>
      </c>
      <c r="B9" t="inlineStr">
        <is>
          <t>RELIANCE</t>
        </is>
      </c>
      <c r="C9" s="19" t="n">
        <v>7400</v>
      </c>
      <c r="D9" s="21">
        <f>VLOOKUP($B9,Securities!$A$5:$E$19,5,FALSE)</f>
        <v/>
      </c>
      <c r="E9" s="20">
        <f>C9*D9</f>
        <v/>
      </c>
    </row>
    <row r="10">
      <c r="A10" t="inlineStr">
        <is>
          <t>ALPHA_EQ</t>
        </is>
      </c>
      <c r="B10" t="inlineStr">
        <is>
          <t>ITC</t>
        </is>
      </c>
      <c r="C10" s="19" t="n">
        <v>20800</v>
      </c>
      <c r="D10" s="21">
        <f>VLOOKUP($B10,Securities!$A$5:$E$19,5,FALSE)</f>
        <v/>
      </c>
      <c r="E10" s="20">
        <f>C10*D10</f>
        <v/>
      </c>
    </row>
    <row r="11">
      <c r="A11" t="inlineStr">
        <is>
          <t>BETA_DEBT</t>
        </is>
      </c>
      <c r="B11" t="inlineStr">
        <is>
          <t>GOI7.26-36</t>
        </is>
      </c>
      <c r="C11" s="19" t="n">
        <v>588200</v>
      </c>
      <c r="D11" s="21">
        <f>VLOOKUP($B11,Securities!$A$5:$E$19,5,FALSE)</f>
        <v/>
      </c>
      <c r="E11" s="20">
        <f>C11*D11</f>
        <v/>
      </c>
    </row>
    <row r="12">
      <c r="A12" t="inlineStr">
        <is>
          <t>BETA_DEBT</t>
        </is>
      </c>
      <c r="B12" t="inlineStr">
        <is>
          <t>GOI8.2-33</t>
        </is>
      </c>
      <c r="C12" s="19" t="n">
        <v>460800</v>
      </c>
      <c r="D12" s="21">
        <f>VLOOKUP($B12,Securities!$A$5:$E$19,5,FALSE)</f>
        <v/>
      </c>
      <c r="E12" s="20">
        <f>C12*D12</f>
        <v/>
      </c>
    </row>
    <row r="13">
      <c r="A13" t="inlineStr">
        <is>
          <t>BETA_DEBT</t>
        </is>
      </c>
      <c r="B13" t="inlineStr">
        <is>
          <t>SDL-MH-32</t>
        </is>
      </c>
      <c r="C13" s="19" t="n">
        <v>295600</v>
      </c>
      <c r="D13" s="21">
        <f>VLOOKUP($B13,Securities!$A$5:$E$19,5,FALSE)</f>
        <v/>
      </c>
      <c r="E13" s="20">
        <f>C13*D13</f>
        <v/>
      </c>
    </row>
    <row r="14">
      <c r="A14" t="inlineStr">
        <is>
          <t>BETA_DEBT</t>
        </is>
      </c>
      <c r="B14" t="inlineStr">
        <is>
          <t>CP-TATA</t>
        </is>
      </c>
      <c r="C14" s="19" t="n">
        <v>200400</v>
      </c>
      <c r="D14" s="21">
        <f>VLOOKUP($B14,Securities!$A$5:$E$19,5,FALSE)</f>
        <v/>
      </c>
      <c r="E14" s="20">
        <f>C14*D14</f>
        <v/>
      </c>
    </row>
    <row r="15">
      <c r="A15" t="inlineStr">
        <is>
          <t>BETA_DEBT</t>
        </is>
      </c>
      <c r="B15" t="inlineStr">
        <is>
          <t>NCD-REL</t>
        </is>
      </c>
      <c r="C15" s="19" t="n">
        <v>29900</v>
      </c>
      <c r="D15" s="21">
        <f>VLOOKUP($B15,Securities!$A$5:$E$19,5,FALSE)</f>
        <v/>
      </c>
      <c r="E15" s="20">
        <f>C15*D15</f>
        <v/>
      </c>
    </row>
    <row r="16">
      <c r="A16" t="inlineStr">
        <is>
          <t>GAMMA_BAL</t>
        </is>
      </c>
      <c r="B16" t="inlineStr">
        <is>
          <t>HDFCBANK</t>
        </is>
      </c>
      <c r="C16" s="19" t="n">
        <v>18200</v>
      </c>
      <c r="D16" s="21">
        <f>VLOOKUP($B16,Securities!$A$5:$E$19,5,FALSE)</f>
        <v/>
      </c>
      <c r="E16" s="20">
        <f>C16*D16</f>
        <v/>
      </c>
    </row>
    <row r="17">
      <c r="A17" t="inlineStr">
        <is>
          <t>GAMMA_BAL</t>
        </is>
      </c>
      <c r="B17" t="inlineStr">
        <is>
          <t>INFY</t>
        </is>
      </c>
      <c r="C17" s="19" t="n">
        <v>14500</v>
      </c>
      <c r="D17" s="21">
        <f>VLOOKUP($B17,Securities!$A$5:$E$19,5,FALSE)</f>
        <v/>
      </c>
      <c r="E17" s="20">
        <f>C17*D17</f>
        <v/>
      </c>
    </row>
    <row r="18">
      <c r="A18" t="inlineStr">
        <is>
          <t>GAMMA_BAL</t>
        </is>
      </c>
      <c r="B18" t="inlineStr">
        <is>
          <t>LT</t>
        </is>
      </c>
      <c r="C18" s="19" t="n">
        <v>6200</v>
      </c>
      <c r="D18" s="21">
        <f>VLOOKUP($B18,Securities!$A$5:$E$19,5,FALSE)</f>
        <v/>
      </c>
      <c r="E18" s="20">
        <f>C18*D18</f>
        <v/>
      </c>
    </row>
    <row r="19">
      <c r="A19" t="inlineStr">
        <is>
          <t>GAMMA_BAL</t>
        </is>
      </c>
      <c r="B19" t="inlineStr">
        <is>
          <t>MARUTI</t>
        </is>
      </c>
      <c r="C19" s="19" t="n">
        <v>8300</v>
      </c>
      <c r="D19" s="21">
        <f>VLOOKUP($B19,Securities!$A$5:$E$19,5,FALSE)</f>
        <v/>
      </c>
      <c r="E19" s="20">
        <f>C19*D19</f>
        <v/>
      </c>
    </row>
    <row r="20">
      <c r="A20" t="inlineStr">
        <is>
          <t>GAMMA_BAL</t>
        </is>
      </c>
      <c r="B20" t="inlineStr">
        <is>
          <t>GOI7.26-36</t>
        </is>
      </c>
      <c r="C20" s="19" t="n">
        <v>367600</v>
      </c>
      <c r="D20" s="21">
        <f>VLOOKUP($B20,Securities!$A$5:$E$19,5,FALSE)</f>
        <v/>
      </c>
      <c r="E20" s="20">
        <f>C20*D20</f>
        <v/>
      </c>
    </row>
    <row r="21">
      <c r="A21" t="inlineStr">
        <is>
          <t>GAMMA_BAL</t>
        </is>
      </c>
      <c r="B21" t="inlineStr">
        <is>
          <t>SDL-MH-32</t>
        </is>
      </c>
      <c r="C21" s="19" t="n">
        <v>221700</v>
      </c>
      <c r="D21" s="21">
        <f>VLOOKUP($B21,Securities!$A$5:$E$19,5,FALSE)</f>
        <v/>
      </c>
      <c r="E21" s="20">
        <f>C21*D21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K2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4" customWidth="1" min="4" max="4"/>
    <col width="18" customWidth="1" min="5" max="5"/>
    <col width="12" customWidth="1" min="6" max="6"/>
    <col width="10" customWidth="1" min="7" max="7"/>
    <col width="11" customWidth="1" min="8" max="8"/>
    <col width="15" customWidth="1" min="9" max="9"/>
    <col width="10" customWidth="1" min="10" max="10"/>
    <col width="38" customWidth="1" min="11" max="11"/>
  </cols>
  <sheetData>
    <row r="1" ht="30" customHeight="1">
      <c r="A1" s="1" t="inlineStr">
        <is>
          <t>TRANSACTIONS (ALL EVENTS)</t>
        </is>
      </c>
    </row>
    <row r="2" ht="16" customHeight="1">
      <c r="A2" s="2" t="inlineStr">
        <is>
          <t>Source: data/transactions.csv - loaded into fundctl.Transactions (SQL)</t>
        </is>
      </c>
    </row>
    <row r="4">
      <c r="A4" s="17" t="inlineStr">
        <is>
          <t>txn_id</t>
        </is>
      </c>
      <c r="B4" s="17" t="inlineStr">
        <is>
          <t>txn_date</t>
        </is>
      </c>
      <c r="C4" s="17" t="inlineStr">
        <is>
          <t>fund_code</t>
        </is>
      </c>
      <c r="D4" s="17" t="inlineStr">
        <is>
          <t>txn_type</t>
        </is>
      </c>
      <c r="E4" s="17" t="inlineStr">
        <is>
          <t>counterparty</t>
        </is>
      </c>
      <c r="F4" s="17" t="inlineStr">
        <is>
          <t>units</t>
        </is>
      </c>
      <c r="G4" s="17" t="inlineStr">
        <is>
          <t>qty</t>
        </is>
      </c>
      <c r="H4" s="17" t="inlineStr">
        <is>
          <t>price</t>
        </is>
      </c>
      <c r="I4" s="17" t="inlineStr">
        <is>
          <t>cash_impact</t>
        </is>
      </c>
      <c r="J4" s="17" t="inlineStr">
        <is>
          <t>rate</t>
        </is>
      </c>
      <c r="K4" s="17" t="inlineStr">
        <is>
          <t>description</t>
        </is>
      </c>
    </row>
    <row r="5">
      <c r="A5" t="n">
        <v>1</v>
      </c>
      <c r="B5" s="22" t="n">
        <v>46260</v>
      </c>
      <c r="C5" t="inlineStr">
        <is>
          <t>ALPHA_EQ</t>
        </is>
      </c>
      <c r="D5" t="inlineStr">
        <is>
          <t>REDEMPTION</t>
        </is>
      </c>
      <c r="E5" t="inlineStr">
        <is>
          <t>Ananya Gupta</t>
        </is>
      </c>
      <c r="F5" s="23" t="n">
        <v>-12114.1231</v>
      </c>
      <c r="I5" s="24" t="n">
        <v>-121141.23</v>
      </c>
      <c r="J5" s="18" t="n">
        <v>10</v>
      </c>
      <c r="K5" t="inlineStr">
        <is>
          <t>Redemption by Ananya Gupta (AANJG3456F)</t>
        </is>
      </c>
    </row>
    <row r="6">
      <c r="A6" t="n">
        <v>2</v>
      </c>
      <c r="B6" s="22" t="n">
        <v>46260</v>
      </c>
      <c r="C6" t="inlineStr">
        <is>
          <t>ALPHA_EQ</t>
        </is>
      </c>
      <c r="D6" t="inlineStr">
        <is>
          <t>SUBSCRIPTION</t>
        </is>
      </c>
      <c r="E6" t="inlineStr">
        <is>
          <t>Karan Singh</t>
        </is>
      </c>
      <c r="F6" s="23" t="n">
        <v>24899.383</v>
      </c>
      <c r="I6" s="24" t="n">
        <v>248993.83</v>
      </c>
      <c r="J6" s="18" t="n">
        <v>10</v>
      </c>
      <c r="K6" t="inlineStr">
        <is>
          <t>Subscription by Karan Singh (AKLSG4567G)</t>
        </is>
      </c>
    </row>
    <row r="7">
      <c r="A7" t="n">
        <v>3</v>
      </c>
      <c r="B7" s="22" t="n">
        <v>46260</v>
      </c>
      <c r="C7" t="inlineStr">
        <is>
          <t>ALPHA_EQ</t>
        </is>
      </c>
      <c r="D7" t="inlineStr">
        <is>
          <t>TRADE</t>
        </is>
      </c>
      <c r="E7" t="inlineStr">
        <is>
          <t>ICICIBANK</t>
        </is>
      </c>
      <c r="G7" s="19" t="n">
        <v>-200</v>
      </c>
      <c r="H7" s="23" t="n">
        <v>1226.9544</v>
      </c>
      <c r="I7" s="24" t="n">
        <v>245390.88</v>
      </c>
      <c r="K7" t="inlineStr">
        <is>
          <t>SELL 200 ICICIBANK @ 1226.9544</t>
        </is>
      </c>
    </row>
    <row r="8">
      <c r="A8" t="n">
        <v>4</v>
      </c>
      <c r="B8" s="22" t="n">
        <v>46260</v>
      </c>
      <c r="C8" t="inlineStr">
        <is>
          <t>BETA_DEBT</t>
        </is>
      </c>
      <c r="D8" t="inlineStr">
        <is>
          <t>SUBSCRIPTION</t>
        </is>
      </c>
      <c r="E8" t="inlineStr">
        <is>
          <t>Aarav Sharma</t>
        </is>
      </c>
      <c r="F8" s="23" t="n">
        <v>41722.145</v>
      </c>
      <c r="I8" s="24" t="n">
        <v>417221.45</v>
      </c>
      <c r="J8" s="18" t="n">
        <v>10</v>
      </c>
      <c r="K8" t="inlineStr">
        <is>
          <t>Subscription by Aarav Sharma (AAAPS1234A)</t>
        </is>
      </c>
    </row>
    <row r="9">
      <c r="A9" t="n">
        <v>5</v>
      </c>
      <c r="B9" s="22" t="n">
        <v>46260</v>
      </c>
      <c r="C9" t="inlineStr">
        <is>
          <t>BETA_DEBT</t>
        </is>
      </c>
      <c r="D9" t="inlineStr">
        <is>
          <t>TRADE</t>
        </is>
      </c>
      <c r="E9" t="inlineStr">
        <is>
          <t>CP-TATA</t>
        </is>
      </c>
      <c r="G9" s="19" t="n">
        <v>2000</v>
      </c>
      <c r="H9" s="23" t="n">
        <v>99.7675</v>
      </c>
      <c r="I9" s="24" t="n">
        <v>-199535</v>
      </c>
      <c r="K9" t="inlineStr">
        <is>
          <t>BUY 2000 CP-TATA @ 99.7675</t>
        </is>
      </c>
    </row>
    <row r="10">
      <c r="A10" t="n">
        <v>6</v>
      </c>
      <c r="B10" s="22" t="n">
        <v>46260</v>
      </c>
      <c r="C10" t="inlineStr">
        <is>
          <t>GAMMA_BAL</t>
        </is>
      </c>
      <c r="D10" t="inlineStr">
        <is>
          <t>REDEMPTION</t>
        </is>
      </c>
      <c r="E10" t="inlineStr">
        <is>
          <t>Vikram Reddy</t>
        </is>
      </c>
      <c r="F10" s="23" t="n">
        <v>-29751.1956</v>
      </c>
      <c r="I10" s="24" t="n">
        <v>-297511.96</v>
      </c>
      <c r="J10" s="18" t="n">
        <v>10</v>
      </c>
      <c r="K10" t="inlineStr">
        <is>
          <t>Redemption by Vikram Reddy (AVBRS7890E)</t>
        </is>
      </c>
    </row>
    <row r="11">
      <c r="A11" t="n">
        <v>7</v>
      </c>
      <c r="B11" s="22" t="n">
        <v>46260</v>
      </c>
      <c r="C11" t="inlineStr">
        <is>
          <t>GAMMA_BAL</t>
        </is>
      </c>
      <c r="D11" t="inlineStr">
        <is>
          <t>SUBSCRIPTION</t>
        </is>
      </c>
      <c r="E11" t="inlineStr">
        <is>
          <t>Aarav Sharma</t>
        </is>
      </c>
      <c r="F11" s="23" t="n">
        <v>26646.531</v>
      </c>
      <c r="I11" s="24" t="n">
        <v>266465.31</v>
      </c>
      <c r="J11" s="18" t="n">
        <v>10</v>
      </c>
      <c r="K11" t="inlineStr">
        <is>
          <t>Subscription by Aarav Sharma (AAAPS1234A)</t>
        </is>
      </c>
    </row>
    <row r="12">
      <c r="A12" t="n">
        <v>8</v>
      </c>
      <c r="B12" s="22" t="n">
        <v>46260</v>
      </c>
      <c r="C12" t="inlineStr">
        <is>
          <t>GAMMA_BAL</t>
        </is>
      </c>
      <c r="D12" t="inlineStr">
        <is>
          <t>TRADE</t>
        </is>
      </c>
      <c r="E12" t="inlineStr">
        <is>
          <t>INFY</t>
        </is>
      </c>
      <c r="G12" s="19" t="n">
        <v>-4000</v>
      </c>
      <c r="H12" s="23" t="n">
        <v>1570.1277</v>
      </c>
      <c r="I12" s="24" t="n">
        <v>6280510.8</v>
      </c>
      <c r="K12" t="inlineStr">
        <is>
          <t>SELL 4000 INFY @ 1570.1277</t>
        </is>
      </c>
    </row>
    <row r="13">
      <c r="A13" t="n">
        <v>9</v>
      </c>
      <c r="B13" s="22" t="n">
        <v>46260</v>
      </c>
      <c r="C13" t="inlineStr">
        <is>
          <t>GAMMA_BAL</t>
        </is>
      </c>
      <c r="D13" t="inlineStr">
        <is>
          <t>TRADE</t>
        </is>
      </c>
      <c r="E13" t="inlineStr">
        <is>
          <t>SDL-MH-32</t>
        </is>
      </c>
      <c r="G13" s="19" t="n">
        <v>-3000</v>
      </c>
      <c r="H13" s="23" t="n">
        <v>101.345</v>
      </c>
      <c r="I13" s="24" t="n">
        <v>304035</v>
      </c>
      <c r="K13" t="inlineStr">
        <is>
          <t>SELL 3000 SDL-MH-32 @ 101.345</t>
        </is>
      </c>
    </row>
    <row r="14">
      <c r="A14" t="n">
        <v>10</v>
      </c>
      <c r="B14" s="22" t="n">
        <v>46260</v>
      </c>
      <c r="C14" t="inlineStr">
        <is>
          <t>GAMMA_BAL</t>
        </is>
      </c>
      <c r="D14" t="inlineStr">
        <is>
          <t>TRADE</t>
        </is>
      </c>
      <c r="E14" t="inlineStr">
        <is>
          <t>SDL-MH-32</t>
        </is>
      </c>
      <c r="G14" s="19" t="n">
        <v>-200</v>
      </c>
      <c r="H14" s="23" t="n">
        <v>101.295</v>
      </c>
      <c r="I14" s="24" t="n">
        <v>20259</v>
      </c>
      <c r="K14" t="inlineStr">
        <is>
          <t>SELL 200 SDL-MH-32 @ 101.295</t>
        </is>
      </c>
    </row>
    <row r="15">
      <c r="A15" t="n">
        <v>11</v>
      </c>
      <c r="B15" s="22" t="n">
        <v>46261</v>
      </c>
      <c r="C15" t="inlineStr">
        <is>
          <t>ALPHA_EQ</t>
        </is>
      </c>
      <c r="D15" t="inlineStr">
        <is>
          <t>REDEMPTION</t>
        </is>
      </c>
      <c r="E15" t="inlineStr">
        <is>
          <t>Karan Singh</t>
        </is>
      </c>
      <c r="F15" s="23" t="n">
        <v>-10047.9424</v>
      </c>
      <c r="I15" s="24" t="n">
        <v>-100274.79</v>
      </c>
      <c r="J15" s="18" t="n">
        <v>9.9796</v>
      </c>
      <c r="K15" t="inlineStr">
        <is>
          <t>Redemption by Karan Singh (AKLSG4567G)</t>
        </is>
      </c>
    </row>
    <row r="16">
      <c r="A16" t="n">
        <v>12</v>
      </c>
      <c r="B16" s="22" t="n">
        <v>46261</v>
      </c>
      <c r="C16" t="inlineStr">
        <is>
          <t>ALPHA_EQ</t>
        </is>
      </c>
      <c r="D16" t="inlineStr">
        <is>
          <t>TRADE</t>
        </is>
      </c>
      <c r="E16" t="inlineStr">
        <is>
          <t>TCS</t>
        </is>
      </c>
      <c r="G16" s="19" t="n">
        <v>-4000</v>
      </c>
      <c r="H16" s="23" t="n">
        <v>3643.4017</v>
      </c>
      <c r="I16" s="24" t="n">
        <v>14573606.8</v>
      </c>
      <c r="K16" t="inlineStr">
        <is>
          <t>SELL 4000 TCS @ 3643.4017</t>
        </is>
      </c>
    </row>
    <row r="17">
      <c r="A17" t="n">
        <v>13</v>
      </c>
      <c r="B17" s="22" t="n">
        <v>46261</v>
      </c>
      <c r="C17" t="inlineStr">
        <is>
          <t>ALPHA_EQ</t>
        </is>
      </c>
      <c r="D17" t="inlineStr">
        <is>
          <t>TRADE</t>
        </is>
      </c>
      <c r="E17" t="inlineStr">
        <is>
          <t>HDFCBANK</t>
        </is>
      </c>
      <c r="G17" s="19" t="n">
        <v>600</v>
      </c>
      <c r="H17" s="23" t="n">
        <v>1634.8268</v>
      </c>
      <c r="I17" s="24" t="n">
        <v>-980896.08</v>
      </c>
      <c r="K17" t="inlineStr">
        <is>
          <t>BUY 600 HDFCBANK @ 1634.8268</t>
        </is>
      </c>
    </row>
    <row r="18">
      <c r="A18" t="n">
        <v>14</v>
      </c>
      <c r="B18" s="22" t="n">
        <v>46261</v>
      </c>
      <c r="C18" t="inlineStr">
        <is>
          <t>BETA_DEBT</t>
        </is>
      </c>
      <c r="D18" t="inlineStr">
        <is>
          <t>SUBSCRIPTION</t>
        </is>
      </c>
      <c r="E18" t="inlineStr">
        <is>
          <t>Priya Nair</t>
        </is>
      </c>
      <c r="F18" s="23" t="n">
        <v>15737.0641</v>
      </c>
      <c r="I18" s="24" t="n">
        <v>158054.33</v>
      </c>
      <c r="J18" s="18" t="n">
        <v>10.0434</v>
      </c>
      <c r="K18" t="inlineStr">
        <is>
          <t>Subscription by Priya Nair (ABCPN5678B)</t>
        </is>
      </c>
    </row>
    <row r="19">
      <c r="A19" t="n">
        <v>15</v>
      </c>
      <c r="B19" s="22" t="n">
        <v>46261</v>
      </c>
      <c r="C19" t="inlineStr">
        <is>
          <t>BETA_DEBT</t>
        </is>
      </c>
      <c r="D19" t="inlineStr">
        <is>
          <t>TRADE</t>
        </is>
      </c>
      <c r="E19" t="inlineStr">
        <is>
          <t>SDL-MH-32</t>
        </is>
      </c>
      <c r="G19" s="19" t="n">
        <v>-800</v>
      </c>
      <c r="H19" s="23" t="n">
        <v>101.2528</v>
      </c>
      <c r="I19" s="24" t="n">
        <v>81002.24000000001</v>
      </c>
      <c r="K19" t="inlineStr">
        <is>
          <t>SELL 800 SDL-MH-32 @ 101.2528</t>
        </is>
      </c>
    </row>
    <row r="20">
      <c r="A20" t="n">
        <v>16</v>
      </c>
      <c r="B20" s="22" t="n">
        <v>46261</v>
      </c>
      <c r="C20" t="inlineStr">
        <is>
          <t>BETA_DEBT</t>
        </is>
      </c>
      <c r="D20" t="inlineStr">
        <is>
          <t>TRADE</t>
        </is>
      </c>
      <c r="E20" t="inlineStr">
        <is>
          <t>GOI7.26-36</t>
        </is>
      </c>
      <c r="G20" s="19" t="n">
        <v>-600</v>
      </c>
      <c r="H20" s="23" t="n">
        <v>102.9844</v>
      </c>
      <c r="I20" s="24" t="n">
        <v>61790.64</v>
      </c>
      <c r="K20" t="inlineStr">
        <is>
          <t>SELL 600 GOI7.26-36 @ 102.9844</t>
        </is>
      </c>
    </row>
    <row r="21">
      <c r="A21" t="n">
        <v>17</v>
      </c>
      <c r="B21" s="22" t="n">
        <v>46261</v>
      </c>
      <c r="C21" t="inlineStr">
        <is>
          <t>BETA_DEBT</t>
        </is>
      </c>
      <c r="D21" t="inlineStr">
        <is>
          <t>TRADE</t>
        </is>
      </c>
      <c r="E21" t="inlineStr">
        <is>
          <t>CP-TATA</t>
        </is>
      </c>
      <c r="G21" s="19" t="n">
        <v>1000</v>
      </c>
      <c r="H21" s="23" t="n">
        <v>99.8151</v>
      </c>
      <c r="I21" s="24" t="n">
        <v>-99815.10000000001</v>
      </c>
      <c r="K21" t="inlineStr">
        <is>
          <t>BUY 1000 CP-TATA @ 99.8151</t>
        </is>
      </c>
    </row>
    <row r="22">
      <c r="A22" t="n">
        <v>18</v>
      </c>
      <c r="B22" s="22" t="n">
        <v>46261</v>
      </c>
      <c r="C22" t="inlineStr">
        <is>
          <t>GAMMA_BAL</t>
        </is>
      </c>
      <c r="D22" t="inlineStr">
        <is>
          <t>REDEMPTION</t>
        </is>
      </c>
      <c r="E22" t="inlineStr">
        <is>
          <t>Vikram Reddy</t>
        </is>
      </c>
      <c r="F22" s="23" t="n">
        <v>-35174.7246</v>
      </c>
      <c r="I22" s="24" t="n">
        <v>-349361.9</v>
      </c>
      <c r="J22" s="18" t="n">
        <v>9.9322</v>
      </c>
      <c r="K22" t="inlineStr">
        <is>
          <t>Redemption by Vikram Reddy (AVBRS7890E)</t>
        </is>
      </c>
    </row>
    <row r="23">
      <c r="A23" t="n">
        <v>19</v>
      </c>
      <c r="B23" s="22" t="n">
        <v>46261</v>
      </c>
      <c r="C23" t="inlineStr">
        <is>
          <t>GAMMA_BAL</t>
        </is>
      </c>
      <c r="D23" t="inlineStr">
        <is>
          <t>SUBSCRIPTION</t>
        </is>
      </c>
      <c r="E23" t="inlineStr">
        <is>
          <t>Ananya Gupta</t>
        </is>
      </c>
      <c r="F23" s="23" t="n">
        <v>8075.2557</v>
      </c>
      <c r="I23" s="24" t="n">
        <v>80204.94</v>
      </c>
      <c r="J23" s="18" t="n">
        <v>9.9322</v>
      </c>
      <c r="K23" t="inlineStr">
        <is>
          <t>Subscription by Ananya Gupta (AANJG3456F)</t>
        </is>
      </c>
    </row>
    <row r="24">
      <c r="A24" t="n">
        <v>20</v>
      </c>
      <c r="B24" s="22" t="n">
        <v>46261</v>
      </c>
      <c r="C24" t="inlineStr">
        <is>
          <t>GAMMA_BAL</t>
        </is>
      </c>
      <c r="D24" t="inlineStr">
        <is>
          <t>TRADE</t>
        </is>
      </c>
      <c r="E24" t="inlineStr">
        <is>
          <t>HDFCBANK</t>
        </is>
      </c>
      <c r="G24" s="19" t="n">
        <v>-500</v>
      </c>
      <c r="H24" s="23" t="n">
        <v>1633.7538</v>
      </c>
      <c r="I24" s="24" t="n">
        <v>816876.9</v>
      </c>
      <c r="K24" t="inlineStr">
        <is>
          <t>SELL 500 HDFCBANK @ 1633.7538</t>
        </is>
      </c>
    </row>
    <row r="25">
      <c r="A25" t="n">
        <v>21</v>
      </c>
      <c r="B25" s="22" t="n">
        <v>46262</v>
      </c>
      <c r="C25" t="inlineStr">
        <is>
          <t>ALPHA_EQ</t>
        </is>
      </c>
      <c r="D25" t="inlineStr">
        <is>
          <t>TRADE</t>
        </is>
      </c>
      <c r="E25" t="inlineStr">
        <is>
          <t>ITC</t>
        </is>
      </c>
      <c r="G25" s="19" t="n">
        <v>-4000</v>
      </c>
      <c r="H25" s="23" t="n">
        <v>473.7985</v>
      </c>
      <c r="I25" s="24" t="n">
        <v>1895194</v>
      </c>
      <c r="K25" t="inlineStr">
        <is>
          <t>SELL 4000 ITC @ 473.7985</t>
        </is>
      </c>
    </row>
    <row r="26">
      <c r="A26" t="n">
        <v>22</v>
      </c>
      <c r="B26" s="22" t="n">
        <v>46262</v>
      </c>
      <c r="C26" t="inlineStr">
        <is>
          <t>ALPHA_EQ</t>
        </is>
      </c>
      <c r="D26" t="inlineStr">
        <is>
          <t>TRADE</t>
        </is>
      </c>
      <c r="E26" t="inlineStr">
        <is>
          <t>HDFCBANK</t>
        </is>
      </c>
      <c r="G26" s="19" t="n">
        <v>1000</v>
      </c>
      <c r="H26" s="23" t="n">
        <v>1658.0993</v>
      </c>
      <c r="I26" s="24" t="n">
        <v>-1658099.3</v>
      </c>
      <c r="K26" t="inlineStr">
        <is>
          <t>BUY 1000 HDFCBANK @ 1658.0993</t>
        </is>
      </c>
    </row>
    <row r="27">
      <c r="A27" t="n">
        <v>23</v>
      </c>
      <c r="B27" s="22" t="n">
        <v>46262</v>
      </c>
      <c r="C27" t="inlineStr">
        <is>
          <t>BETA_DEBT</t>
        </is>
      </c>
      <c r="D27" t="inlineStr">
        <is>
          <t>REDEMPTION</t>
        </is>
      </c>
      <c r="E27" t="inlineStr">
        <is>
          <t>Meera Joshi</t>
        </is>
      </c>
      <c r="F27" s="23" t="n">
        <v>-29467.3746</v>
      </c>
      <c r="I27" s="24" t="n">
        <v>-295994.76</v>
      </c>
      <c r="J27" s="18" t="n">
        <v>10.0448</v>
      </c>
      <c r="K27" t="inlineStr">
        <is>
          <t>Redemption by Meera Joshi (MMJMJ7890K)</t>
        </is>
      </c>
    </row>
    <row r="28">
      <c r="A28" t="n">
        <v>24</v>
      </c>
      <c r="B28" s="22" t="n">
        <v>46262</v>
      </c>
      <c r="C28" t="inlineStr">
        <is>
          <t>BETA_DEBT</t>
        </is>
      </c>
      <c r="D28" t="inlineStr">
        <is>
          <t>SUBSCRIPTION</t>
        </is>
      </c>
      <c r="E28" t="inlineStr">
        <is>
          <t>Meera Joshi</t>
        </is>
      </c>
      <c r="F28" s="23" t="n">
        <v>20612.8054</v>
      </c>
      <c r="I28" s="24" t="n">
        <v>207052.12</v>
      </c>
      <c r="J28" s="18" t="n">
        <v>10.0448</v>
      </c>
      <c r="K28" t="inlineStr">
        <is>
          <t>Subscription by Meera Joshi (MMJMJ7890K)</t>
        </is>
      </c>
    </row>
    <row r="29">
      <c r="A29" t="n">
        <v>25</v>
      </c>
      <c r="B29" s="22" t="n">
        <v>46262</v>
      </c>
      <c r="C29" t="inlineStr">
        <is>
          <t>BETA_DEBT</t>
        </is>
      </c>
      <c r="D29" t="inlineStr">
        <is>
          <t>TRADE</t>
        </is>
      </c>
      <c r="E29" t="inlineStr">
        <is>
          <t>GOI8.2-33</t>
        </is>
      </c>
      <c r="G29" s="19" t="n">
        <v>-800</v>
      </c>
      <c r="H29" s="23" t="n">
        <v>108.7414</v>
      </c>
      <c r="I29" s="24" t="n">
        <v>86993.12</v>
      </c>
      <c r="K29" t="inlineStr">
        <is>
          <t>SELL 800 GOI8.2-33 @ 108.7414</t>
        </is>
      </c>
    </row>
    <row r="30">
      <c r="A30" t="n">
        <v>26</v>
      </c>
      <c r="B30" s="22" t="n">
        <v>46262</v>
      </c>
      <c r="C30" t="inlineStr">
        <is>
          <t>GAMMA_BAL</t>
        </is>
      </c>
      <c r="D30" t="inlineStr">
        <is>
          <t>REDEMPTION</t>
        </is>
      </c>
      <c r="E30" t="inlineStr">
        <is>
          <t>Rahul Mehta</t>
        </is>
      </c>
      <c r="F30" s="23" t="n">
        <v>-35731.8416</v>
      </c>
      <c r="I30" s="24" t="n">
        <v>-357500.56</v>
      </c>
      <c r="J30" s="18" t="n">
        <v>10.0051</v>
      </c>
      <c r="K30" t="inlineStr">
        <is>
          <t>Redemption by Rahul Mehta (ACARM6789C)</t>
        </is>
      </c>
    </row>
    <row r="31">
      <c r="A31" t="n">
        <v>27</v>
      </c>
      <c r="B31" s="22" t="n">
        <v>46262</v>
      </c>
      <c r="C31" t="inlineStr">
        <is>
          <t>GAMMA_BAL</t>
        </is>
      </c>
      <c r="D31" t="inlineStr">
        <is>
          <t>TRADE</t>
        </is>
      </c>
      <c r="E31" t="inlineStr">
        <is>
          <t>HDFCBANK</t>
        </is>
      </c>
      <c r="G31" s="19" t="n">
        <v>-400</v>
      </c>
      <c r="H31" s="23" t="n">
        <v>1655.7083</v>
      </c>
      <c r="I31" s="24" t="n">
        <v>662283.3199999999</v>
      </c>
      <c r="K31" t="inlineStr">
        <is>
          <t>SELL 400 HDFCBANK @ 1655.7083</t>
        </is>
      </c>
    </row>
    <row r="32">
      <c r="A32" t="n">
        <v>28</v>
      </c>
      <c r="B32" s="22" t="n">
        <v>46262</v>
      </c>
      <c r="C32" t="inlineStr">
        <is>
          <t>GAMMA_BAL</t>
        </is>
      </c>
      <c r="D32" t="inlineStr">
        <is>
          <t>TRADE</t>
        </is>
      </c>
      <c r="E32" t="inlineStr">
        <is>
          <t>MARUTI</t>
        </is>
      </c>
      <c r="G32" s="19" t="n">
        <v>-1200</v>
      </c>
      <c r="H32" s="23" t="n">
        <v>1835.318</v>
      </c>
      <c r="I32" s="24" t="n">
        <v>2202381.6</v>
      </c>
      <c r="K32" t="inlineStr">
        <is>
          <t>SELL 1200 MARUTI @ 1835.318</t>
        </is>
      </c>
    </row>
    <row r="33">
      <c r="A33" t="n">
        <v>29</v>
      </c>
      <c r="B33" s="22" t="n">
        <v>46265</v>
      </c>
      <c r="C33" t="inlineStr">
        <is>
          <t>ALPHA_EQ</t>
        </is>
      </c>
      <c r="D33" t="inlineStr">
        <is>
          <t>TRADE</t>
        </is>
      </c>
      <c r="E33" t="inlineStr">
        <is>
          <t>RELIANCE</t>
        </is>
      </c>
      <c r="G33" s="19" t="n">
        <v>2500</v>
      </c>
      <c r="H33" s="23" t="n">
        <v>1451.5667</v>
      </c>
      <c r="I33" s="24" t="n">
        <v>-3628916.75</v>
      </c>
      <c r="K33" t="inlineStr">
        <is>
          <t>BUY 2500 RELIANCE @ 1451.5667</t>
        </is>
      </c>
    </row>
    <row r="34">
      <c r="A34" t="n">
        <v>30</v>
      </c>
      <c r="B34" s="22" t="n">
        <v>46265</v>
      </c>
      <c r="C34" t="inlineStr">
        <is>
          <t>ALPHA_EQ</t>
        </is>
      </c>
      <c r="D34" t="inlineStr">
        <is>
          <t>TRADE</t>
        </is>
      </c>
      <c r="E34" t="inlineStr">
        <is>
          <t>HDFCBANK</t>
        </is>
      </c>
      <c r="G34" s="19" t="n">
        <v>3000</v>
      </c>
      <c r="H34" s="23" t="n">
        <v>1649.6733</v>
      </c>
      <c r="I34" s="24" t="n">
        <v>-4949019.9</v>
      </c>
      <c r="K34" t="inlineStr">
        <is>
          <t>BUY 3000 HDFCBANK @ 1649.6733</t>
        </is>
      </c>
    </row>
    <row r="35">
      <c r="A35" t="n">
        <v>31</v>
      </c>
      <c r="B35" s="22" t="n">
        <v>46265</v>
      </c>
      <c r="C35" t="inlineStr">
        <is>
          <t>BETA_DEBT</t>
        </is>
      </c>
      <c r="D35" t="inlineStr">
        <is>
          <t>SUBSCRIPTION</t>
        </is>
      </c>
      <c r="E35" t="inlineStr">
        <is>
          <t>Arjun Patel</t>
        </is>
      </c>
      <c r="F35" s="23" t="n">
        <v>14374.4967</v>
      </c>
      <c r="I35" s="24" t="n">
        <v>144931.75</v>
      </c>
      <c r="J35" s="18" t="n">
        <v>10.0826</v>
      </c>
      <c r="K35" t="inlineStr">
        <is>
          <t>Subscription by Arjun Patel (APAPL6789I)</t>
        </is>
      </c>
    </row>
    <row r="36">
      <c r="A36" t="n">
        <v>32</v>
      </c>
      <c r="B36" s="22" t="n">
        <v>46265</v>
      </c>
      <c r="C36" t="inlineStr">
        <is>
          <t>BETA_DEBT</t>
        </is>
      </c>
      <c r="D36" t="inlineStr">
        <is>
          <t>TRADE</t>
        </is>
      </c>
      <c r="E36" t="inlineStr">
        <is>
          <t>NCD-REL</t>
        </is>
      </c>
      <c r="G36" s="19" t="n">
        <v>3000</v>
      </c>
      <c r="H36" s="23" t="n">
        <v>1003.9723</v>
      </c>
      <c r="I36" s="24" t="n">
        <v>-3011916.9</v>
      </c>
      <c r="K36" t="inlineStr">
        <is>
          <t>BUY 3000 NCD-REL @ 1003.9723</t>
        </is>
      </c>
    </row>
    <row r="37">
      <c r="A37" t="n">
        <v>33</v>
      </c>
      <c r="B37" s="22" t="n">
        <v>46265</v>
      </c>
      <c r="C37" t="inlineStr">
        <is>
          <t>BETA_DEBT</t>
        </is>
      </c>
      <c r="D37" t="inlineStr">
        <is>
          <t>TRADE</t>
        </is>
      </c>
      <c r="E37" t="inlineStr">
        <is>
          <t>CP-TATA</t>
        </is>
      </c>
      <c r="G37" s="19" t="n">
        <v>4000</v>
      </c>
      <c r="H37" s="23" t="n">
        <v>99.9297</v>
      </c>
      <c r="I37" s="24" t="n">
        <v>-399718.8</v>
      </c>
      <c r="K37" t="inlineStr">
        <is>
          <t>BUY 4000 CP-TATA @ 99.9297</t>
        </is>
      </c>
    </row>
    <row r="38">
      <c r="A38" t="n">
        <v>34</v>
      </c>
      <c r="B38" s="22" t="n">
        <v>46265</v>
      </c>
      <c r="C38" t="inlineStr">
        <is>
          <t>GAMMA_BAL</t>
        </is>
      </c>
      <c r="D38" t="inlineStr">
        <is>
          <t>REDEMPTION</t>
        </is>
      </c>
      <c r="E38" t="inlineStr">
        <is>
          <t>Rahul Mehta</t>
        </is>
      </c>
      <c r="F38" s="23" t="n">
        <v>-39008.1373</v>
      </c>
      <c r="I38" s="24" t="n">
        <v>-388431.44</v>
      </c>
      <c r="J38" s="18" t="n">
        <v>9.957700000000001</v>
      </c>
      <c r="K38" t="inlineStr">
        <is>
          <t>Redemption by Rahul Mehta (ACARM6789C)</t>
        </is>
      </c>
    </row>
    <row r="39">
      <c r="A39" t="n">
        <v>35</v>
      </c>
      <c r="B39" s="22" t="n">
        <v>46265</v>
      </c>
      <c r="C39" t="inlineStr">
        <is>
          <t>GAMMA_BAL</t>
        </is>
      </c>
      <c r="D39" t="inlineStr">
        <is>
          <t>TRADE</t>
        </is>
      </c>
      <c r="E39" t="inlineStr">
        <is>
          <t>HDFCBANK</t>
        </is>
      </c>
      <c r="G39" s="19" t="n">
        <v>-800</v>
      </c>
      <c r="H39" s="23" t="n">
        <v>1649.6863</v>
      </c>
      <c r="I39" s="24" t="n">
        <v>1319749.04</v>
      </c>
      <c r="K39" t="inlineStr">
        <is>
          <t>SELL 800 HDFCBANK @ 1649.6863</t>
        </is>
      </c>
    </row>
    <row r="40">
      <c r="A40" t="n">
        <v>36</v>
      </c>
      <c r="B40" s="22" t="n">
        <v>46266</v>
      </c>
      <c r="C40" t="inlineStr">
        <is>
          <t>ALPHA_EQ</t>
        </is>
      </c>
      <c r="D40" t="inlineStr">
        <is>
          <t>SUBSCRIPTION</t>
        </is>
      </c>
      <c r="E40" t="inlineStr">
        <is>
          <t>Arjun Patel</t>
        </is>
      </c>
      <c r="F40" s="23" t="n">
        <v>15934.6371</v>
      </c>
      <c r="I40" s="24" t="n">
        <v>157718.43</v>
      </c>
      <c r="J40" s="18" t="n">
        <v>9.8978</v>
      </c>
      <c r="K40" t="inlineStr">
        <is>
          <t>Subscription by Arjun Patel (APAPL6789I)</t>
        </is>
      </c>
    </row>
    <row r="41">
      <c r="A41" t="n">
        <v>37</v>
      </c>
      <c r="B41" s="22" t="n">
        <v>46266</v>
      </c>
      <c r="C41" t="inlineStr">
        <is>
          <t>ALPHA_EQ</t>
        </is>
      </c>
      <c r="D41" t="inlineStr">
        <is>
          <t>TRADE</t>
        </is>
      </c>
      <c r="E41" t="inlineStr">
        <is>
          <t>ITC</t>
        </is>
      </c>
      <c r="G41" s="19" t="n">
        <v>-3000</v>
      </c>
      <c r="H41" s="23" t="n">
        <v>485.4189</v>
      </c>
      <c r="I41" s="24" t="n">
        <v>1456256.7</v>
      </c>
      <c r="K41" t="inlineStr">
        <is>
          <t>SELL 3000 ITC @ 485.4189</t>
        </is>
      </c>
    </row>
    <row r="42">
      <c r="A42" t="n">
        <v>38</v>
      </c>
      <c r="B42" s="22" t="n">
        <v>46266</v>
      </c>
      <c r="C42" t="inlineStr">
        <is>
          <t>ALPHA_EQ</t>
        </is>
      </c>
      <c r="D42" t="inlineStr">
        <is>
          <t>TRADE</t>
        </is>
      </c>
      <c r="E42" t="inlineStr">
        <is>
          <t>ITC</t>
        </is>
      </c>
      <c r="G42" s="19" t="n">
        <v>600</v>
      </c>
      <c r="H42" s="23" t="n">
        <v>485.2168</v>
      </c>
      <c r="I42" s="24" t="n">
        <v>-291130.08</v>
      </c>
      <c r="K42" t="inlineStr">
        <is>
          <t>BUY 600 ITC @ 485.2168</t>
        </is>
      </c>
    </row>
    <row r="43">
      <c r="A43" t="n">
        <v>39</v>
      </c>
      <c r="B43" s="22" t="n">
        <v>46266</v>
      </c>
      <c r="C43" t="inlineStr">
        <is>
          <t>ALPHA_EQ</t>
        </is>
      </c>
      <c r="D43" t="inlineStr">
        <is>
          <t>TRADE</t>
        </is>
      </c>
      <c r="E43" t="inlineStr">
        <is>
          <t>HDFCBANK</t>
        </is>
      </c>
      <c r="G43" s="19" t="n">
        <v>500</v>
      </c>
      <c r="H43" s="23" t="n">
        <v>1620.2088</v>
      </c>
      <c r="I43" s="24" t="n">
        <v>-810104.4</v>
      </c>
      <c r="K43" t="inlineStr">
        <is>
          <t>BUY 500 HDFCBANK @ 1620.2088</t>
        </is>
      </c>
    </row>
    <row r="44">
      <c r="A44" t="n">
        <v>40</v>
      </c>
      <c r="B44" s="22" t="n">
        <v>46266</v>
      </c>
      <c r="C44" t="inlineStr">
        <is>
          <t>BETA_DEBT</t>
        </is>
      </c>
      <c r="D44" t="inlineStr">
        <is>
          <t>REDEMPTION</t>
        </is>
      </c>
      <c r="E44" t="inlineStr">
        <is>
          <t>Rahul Mehta</t>
        </is>
      </c>
      <c r="F44" s="23" t="n">
        <v>-26182.7568</v>
      </c>
      <c r="I44" s="24" t="n">
        <v>-262604.15</v>
      </c>
      <c r="J44" s="18" t="n">
        <v>10.0297</v>
      </c>
      <c r="K44" t="inlineStr">
        <is>
          <t>Redemption by Rahul Mehta (ACARM6789C)</t>
        </is>
      </c>
    </row>
    <row r="45">
      <c r="A45" t="n">
        <v>41</v>
      </c>
      <c r="B45" s="22" t="n">
        <v>46266</v>
      </c>
      <c r="C45" t="inlineStr">
        <is>
          <t>BETA_DEBT</t>
        </is>
      </c>
      <c r="D45" t="inlineStr">
        <is>
          <t>SUBSCRIPTION</t>
        </is>
      </c>
      <c r="E45" t="inlineStr">
        <is>
          <t>Vikram Reddy</t>
        </is>
      </c>
      <c r="F45" s="23" t="n">
        <v>43955.7023</v>
      </c>
      <c r="I45" s="24" t="n">
        <v>440860.75</v>
      </c>
      <c r="J45" s="18" t="n">
        <v>10.0297</v>
      </c>
      <c r="K45" t="inlineStr">
        <is>
          <t>Subscription by Vikram Reddy (AVBRS7890E)</t>
        </is>
      </c>
    </row>
    <row r="46">
      <c r="A46" t="n">
        <v>42</v>
      </c>
      <c r="B46" s="22" t="n">
        <v>46266</v>
      </c>
      <c r="C46" t="inlineStr">
        <is>
          <t>BETA_DEBT</t>
        </is>
      </c>
      <c r="D46" t="inlineStr">
        <is>
          <t>TRADE</t>
        </is>
      </c>
      <c r="E46" t="inlineStr">
        <is>
          <t>CP-TATA</t>
        </is>
      </c>
      <c r="G46" s="19" t="n">
        <v>-800</v>
      </c>
      <c r="H46" s="23" t="n">
        <v>99.8719</v>
      </c>
      <c r="I46" s="24" t="n">
        <v>79897.52</v>
      </c>
      <c r="K46" t="inlineStr">
        <is>
          <t>SELL 800 CP-TATA @ 99.8719</t>
        </is>
      </c>
    </row>
    <row r="47">
      <c r="A47" t="n">
        <v>43</v>
      </c>
      <c r="B47" s="22" t="n">
        <v>46266</v>
      </c>
      <c r="C47" t="inlineStr">
        <is>
          <t>BETA_DEBT</t>
        </is>
      </c>
      <c r="D47" t="inlineStr">
        <is>
          <t>TRADE</t>
        </is>
      </c>
      <c r="E47" t="inlineStr">
        <is>
          <t>CP-TATA</t>
        </is>
      </c>
      <c r="G47" s="19" t="n">
        <v>600</v>
      </c>
      <c r="H47" s="23" t="n">
        <v>99.8475</v>
      </c>
      <c r="I47" s="24" t="n">
        <v>-59908.5</v>
      </c>
      <c r="K47" t="inlineStr">
        <is>
          <t>BUY 600 CP-TATA @ 99.8475</t>
        </is>
      </c>
    </row>
    <row r="48">
      <c r="A48" t="n">
        <v>44</v>
      </c>
      <c r="B48" s="22" t="n">
        <v>46266</v>
      </c>
      <c r="C48" t="inlineStr">
        <is>
          <t>GAMMA_BAL</t>
        </is>
      </c>
      <c r="D48" t="inlineStr">
        <is>
          <t>TRADE</t>
        </is>
      </c>
      <c r="E48" t="inlineStr">
        <is>
          <t>LT</t>
        </is>
      </c>
      <c r="G48" s="19" t="n">
        <v>-1600</v>
      </c>
      <c r="H48" s="23" t="n">
        <v>2363.8623</v>
      </c>
      <c r="I48" s="24" t="n">
        <v>3782179.68</v>
      </c>
      <c r="K48" t="inlineStr">
        <is>
          <t>SELL 1600 LT @ 2363.8623</t>
        </is>
      </c>
    </row>
    <row r="49">
      <c r="A49" t="n">
        <v>45</v>
      </c>
      <c r="B49" s="22" t="n">
        <v>46266</v>
      </c>
      <c r="C49" t="inlineStr">
        <is>
          <t>GAMMA_BAL</t>
        </is>
      </c>
      <c r="D49" t="inlineStr">
        <is>
          <t>TRADE</t>
        </is>
      </c>
      <c r="E49" t="inlineStr">
        <is>
          <t>INFY</t>
        </is>
      </c>
      <c r="G49" s="19" t="n">
        <v>-400</v>
      </c>
      <c r="H49" s="23" t="n">
        <v>1621.5505</v>
      </c>
      <c r="I49" s="24" t="n">
        <v>648620.2</v>
      </c>
      <c r="K49" t="inlineStr">
        <is>
          <t>SELL 400 INFY @ 1621.5505</t>
        </is>
      </c>
    </row>
    <row r="50">
      <c r="A50" t="n">
        <v>46</v>
      </c>
      <c r="B50" s="22" t="n">
        <v>46267</v>
      </c>
      <c r="C50" t="inlineStr">
        <is>
          <t>ALPHA_EQ</t>
        </is>
      </c>
      <c r="D50" t="inlineStr">
        <is>
          <t>REDEMPTION</t>
        </is>
      </c>
      <c r="E50" t="inlineStr">
        <is>
          <t>Priya Nair</t>
        </is>
      </c>
      <c r="F50" s="23" t="n">
        <v>-27810.5043</v>
      </c>
      <c r="I50" s="24" t="n">
        <v>-276185.36</v>
      </c>
      <c r="J50" s="18" t="n">
        <v>9.930999999999999</v>
      </c>
      <c r="K50" t="inlineStr">
        <is>
          <t>Redemption by Priya Nair (ABCPN5678B)</t>
        </is>
      </c>
    </row>
    <row r="51">
      <c r="A51" t="n">
        <v>47</v>
      </c>
      <c r="B51" s="22" t="n">
        <v>46267</v>
      </c>
      <c r="C51" t="inlineStr">
        <is>
          <t>ALPHA_EQ</t>
        </is>
      </c>
      <c r="D51" t="inlineStr">
        <is>
          <t>TRADE</t>
        </is>
      </c>
      <c r="E51" t="inlineStr">
        <is>
          <t>INFY</t>
        </is>
      </c>
      <c r="G51" s="19" t="n">
        <v>3000</v>
      </c>
      <c r="H51" s="23" t="n">
        <v>1635.6374</v>
      </c>
      <c r="I51" s="24" t="n">
        <v>-4906912.2</v>
      </c>
      <c r="K51" t="inlineStr">
        <is>
          <t>BUY 3000 INFY @ 1635.6374</t>
        </is>
      </c>
    </row>
    <row r="52">
      <c r="A52" t="n">
        <v>48</v>
      </c>
      <c r="B52" s="22" t="n">
        <v>46267</v>
      </c>
      <c r="C52" t="inlineStr">
        <is>
          <t>ALPHA_EQ</t>
        </is>
      </c>
      <c r="D52" t="inlineStr">
        <is>
          <t>TRADE</t>
        </is>
      </c>
      <c r="E52" t="inlineStr">
        <is>
          <t>TCS</t>
        </is>
      </c>
      <c r="G52" s="19" t="n">
        <v>400</v>
      </c>
      <c r="H52" s="23" t="n">
        <v>3635.9043</v>
      </c>
      <c r="I52" s="24" t="n">
        <v>-1454361.72</v>
      </c>
      <c r="K52" t="inlineStr">
        <is>
          <t>BUY 400 TCS @ 3635.9043</t>
        </is>
      </c>
    </row>
    <row r="53">
      <c r="A53" t="n">
        <v>49</v>
      </c>
      <c r="B53" s="22" t="n">
        <v>46267</v>
      </c>
      <c r="C53" t="inlineStr">
        <is>
          <t>BETA_DEBT</t>
        </is>
      </c>
      <c r="D53" t="inlineStr">
        <is>
          <t>REDEMPTION</t>
        </is>
      </c>
      <c r="E53" t="inlineStr">
        <is>
          <t>Karan Singh</t>
        </is>
      </c>
      <c r="F53" s="23" t="n">
        <v>-23700.7055</v>
      </c>
      <c r="I53" s="24" t="n">
        <v>-234413.01</v>
      </c>
      <c r="J53" s="18" t="n">
        <v>9.890499999999999</v>
      </c>
      <c r="K53" t="inlineStr">
        <is>
          <t>Redemption by Karan Singh (AKLSG4567G)</t>
        </is>
      </c>
    </row>
    <row r="54">
      <c r="A54" t="n">
        <v>50</v>
      </c>
      <c r="B54" s="22" t="n">
        <v>46267</v>
      </c>
      <c r="C54" t="inlineStr">
        <is>
          <t>BETA_DEBT</t>
        </is>
      </c>
      <c r="D54" t="inlineStr">
        <is>
          <t>SUBSCRIPTION</t>
        </is>
      </c>
      <c r="E54" t="inlineStr">
        <is>
          <t>Meera Joshi</t>
        </is>
      </c>
      <c r="F54" s="23" t="n">
        <v>28974.4822</v>
      </c>
      <c r="I54" s="24" t="n">
        <v>286573.56</v>
      </c>
      <c r="J54" s="18" t="n">
        <v>9.890499999999999</v>
      </c>
      <c r="K54" t="inlineStr">
        <is>
          <t>Subscription by Meera Joshi (MMJMJ7890K)</t>
        </is>
      </c>
    </row>
    <row r="55">
      <c r="A55" t="n">
        <v>51</v>
      </c>
      <c r="B55" s="22" t="n">
        <v>46267</v>
      </c>
      <c r="C55" t="inlineStr">
        <is>
          <t>BETA_DEBT</t>
        </is>
      </c>
      <c r="D55" t="inlineStr">
        <is>
          <t>TRADE</t>
        </is>
      </c>
      <c r="E55" t="inlineStr">
        <is>
          <t>NCD-REL</t>
        </is>
      </c>
      <c r="G55" s="19" t="n">
        <v>-400</v>
      </c>
      <c r="H55" s="23" t="n">
        <v>1002.6867</v>
      </c>
      <c r="I55" s="24" t="n">
        <v>401074.68</v>
      </c>
      <c r="K55" t="inlineStr">
        <is>
          <t>SELL 400 NCD-REL @ 1002.6867</t>
        </is>
      </c>
    </row>
    <row r="56">
      <c r="A56" t="n">
        <v>52</v>
      </c>
      <c r="B56" s="22" t="n">
        <v>46267</v>
      </c>
      <c r="C56" t="inlineStr">
        <is>
          <t>BETA_DEBT</t>
        </is>
      </c>
      <c r="D56" t="inlineStr">
        <is>
          <t>TRADE</t>
        </is>
      </c>
      <c r="E56" t="inlineStr">
        <is>
          <t>CP-TATA</t>
        </is>
      </c>
      <c r="G56" s="19" t="n">
        <v>-4000</v>
      </c>
      <c r="H56" s="23" t="n">
        <v>99.89700000000001</v>
      </c>
      <c r="I56" s="24" t="n">
        <v>399588</v>
      </c>
      <c r="K56" t="inlineStr">
        <is>
          <t>SELL 4000 CP-TATA @ 99.897</t>
        </is>
      </c>
    </row>
    <row r="57">
      <c r="A57" t="n">
        <v>53</v>
      </c>
      <c r="B57" s="22" t="n">
        <v>46267</v>
      </c>
      <c r="C57" t="inlineStr">
        <is>
          <t>GAMMA_BAL</t>
        </is>
      </c>
      <c r="D57" t="inlineStr">
        <is>
          <t>SUBSCRIPTION</t>
        </is>
      </c>
      <c r="E57" t="inlineStr">
        <is>
          <t>Vikram Reddy</t>
        </is>
      </c>
      <c r="F57" s="23" t="n">
        <v>3719.406</v>
      </c>
      <c r="I57" s="24" t="n">
        <v>37087.61</v>
      </c>
      <c r="J57" s="18" t="n">
        <v>9.971399999999999</v>
      </c>
      <c r="K57" t="inlineStr">
        <is>
          <t>Subscription by Vikram Reddy (AVBRS7890E)</t>
        </is>
      </c>
    </row>
    <row r="58">
      <c r="A58" t="n">
        <v>54</v>
      </c>
      <c r="B58" s="22" t="n">
        <v>46267</v>
      </c>
      <c r="C58" t="inlineStr">
        <is>
          <t>GAMMA_BAL</t>
        </is>
      </c>
      <c r="D58" t="inlineStr">
        <is>
          <t>TRADE</t>
        </is>
      </c>
      <c r="E58" t="inlineStr">
        <is>
          <t>MARUTI</t>
        </is>
      </c>
      <c r="G58" s="19" t="n">
        <v>800</v>
      </c>
      <c r="H58" s="23" t="n">
        <v>1840.7861</v>
      </c>
      <c r="I58" s="24" t="n">
        <v>-1472628.88</v>
      </c>
      <c r="K58" t="inlineStr">
        <is>
          <t>BUY 800 MARUTI @ 1840.7861</t>
        </is>
      </c>
    </row>
    <row r="59">
      <c r="A59" t="n">
        <v>55</v>
      </c>
      <c r="B59" s="22" t="n">
        <v>46267</v>
      </c>
      <c r="C59" t="inlineStr">
        <is>
          <t>GAMMA_BAL</t>
        </is>
      </c>
      <c r="D59" t="inlineStr">
        <is>
          <t>TRADE</t>
        </is>
      </c>
      <c r="E59" t="inlineStr">
        <is>
          <t>INFY</t>
        </is>
      </c>
      <c r="G59" s="19" t="n">
        <v>200</v>
      </c>
      <c r="H59" s="23" t="n">
        <v>1634.1524</v>
      </c>
      <c r="I59" s="24" t="n">
        <v>-326830.48</v>
      </c>
      <c r="K59" t="inlineStr">
        <is>
          <t>BUY 200 INFY @ 1634.1524</t>
        </is>
      </c>
    </row>
    <row r="60">
      <c r="A60" t="n">
        <v>56</v>
      </c>
      <c r="B60" s="22" t="n">
        <v>46268</v>
      </c>
      <c r="C60" t="inlineStr">
        <is>
          <t>ALPHA_EQ</t>
        </is>
      </c>
      <c r="D60" t="inlineStr">
        <is>
          <t>REDEMPTION</t>
        </is>
      </c>
      <c r="E60" t="inlineStr">
        <is>
          <t>Ananya Gupta</t>
        </is>
      </c>
      <c r="F60" s="23" t="n">
        <v>-27152.0603</v>
      </c>
      <c r="I60" s="24" t="n">
        <v>-267407.73</v>
      </c>
      <c r="J60" s="18" t="n">
        <v>9.8485</v>
      </c>
      <c r="K60" t="inlineStr">
        <is>
          <t>Redemption by Ananya Gupta (AANJG3456F)</t>
        </is>
      </c>
    </row>
    <row r="61">
      <c r="A61" t="n">
        <v>57</v>
      </c>
      <c r="B61" s="22" t="n">
        <v>46268</v>
      </c>
      <c r="C61" t="inlineStr">
        <is>
          <t>ALPHA_EQ</t>
        </is>
      </c>
      <c r="D61" t="inlineStr">
        <is>
          <t>TRADE</t>
        </is>
      </c>
      <c r="E61" t="inlineStr">
        <is>
          <t>HDFCBANK</t>
        </is>
      </c>
      <c r="G61" s="19" t="n">
        <v>400</v>
      </c>
      <c r="H61" s="23" t="n">
        <v>1630.6561</v>
      </c>
      <c r="I61" s="24" t="n">
        <v>-652262.4399999999</v>
      </c>
      <c r="K61" t="inlineStr">
        <is>
          <t>BUY 400 HDFCBANK @ 1630.6561</t>
        </is>
      </c>
    </row>
    <row r="62">
      <c r="A62" t="n">
        <v>58</v>
      </c>
      <c r="B62" s="22" t="n">
        <v>46268</v>
      </c>
      <c r="C62" t="inlineStr">
        <is>
          <t>ALPHA_EQ</t>
        </is>
      </c>
      <c r="D62" t="inlineStr">
        <is>
          <t>TRADE</t>
        </is>
      </c>
      <c r="E62" t="inlineStr">
        <is>
          <t>TCS</t>
        </is>
      </c>
      <c r="G62" s="19" t="n">
        <v>1400</v>
      </c>
      <c r="H62" s="23" t="n">
        <v>3672.024</v>
      </c>
      <c r="I62" s="24" t="n">
        <v>-5140833.6</v>
      </c>
      <c r="K62" t="inlineStr">
        <is>
          <t>BUY 1400 TCS @ 3672.024</t>
        </is>
      </c>
    </row>
    <row r="63">
      <c r="A63" t="n">
        <v>59</v>
      </c>
      <c r="B63" s="22" t="n">
        <v>46268</v>
      </c>
      <c r="C63" t="inlineStr">
        <is>
          <t>ALPHA_EQ</t>
        </is>
      </c>
      <c r="D63" t="inlineStr">
        <is>
          <t>TRADE</t>
        </is>
      </c>
      <c r="E63" t="inlineStr">
        <is>
          <t>INFY</t>
        </is>
      </c>
      <c r="G63" s="19" t="n">
        <v>-3000</v>
      </c>
      <c r="H63" s="23" t="n">
        <v>1643.3737</v>
      </c>
      <c r="I63" s="24" t="n">
        <v>4930121.1</v>
      </c>
      <c r="K63" t="inlineStr">
        <is>
          <t>SELL 3000 INFY @ 1643.3737</t>
        </is>
      </c>
    </row>
    <row r="64">
      <c r="A64" t="n">
        <v>60</v>
      </c>
      <c r="B64" s="22" t="n">
        <v>46268</v>
      </c>
      <c r="C64" t="inlineStr">
        <is>
          <t>BETA_DEBT</t>
        </is>
      </c>
      <c r="D64" t="inlineStr">
        <is>
          <t>REDEMPTION</t>
        </is>
      </c>
      <c r="E64" t="inlineStr">
        <is>
          <t>Aarav Sharma</t>
        </is>
      </c>
      <c r="F64" s="23" t="n">
        <v>-54632.3226</v>
      </c>
      <c r="I64" s="24" t="n">
        <v>-543413</v>
      </c>
      <c r="J64" s="18" t="n">
        <v>9.9467</v>
      </c>
      <c r="K64" t="inlineStr">
        <is>
          <t>Redemption by Aarav Sharma (AAAPS1234A)</t>
        </is>
      </c>
    </row>
    <row r="65">
      <c r="A65" t="n">
        <v>61</v>
      </c>
      <c r="B65" s="22" t="n">
        <v>46268</v>
      </c>
      <c r="C65" t="inlineStr">
        <is>
          <t>BETA_DEBT</t>
        </is>
      </c>
      <c r="D65" t="inlineStr">
        <is>
          <t>SUBSCRIPTION</t>
        </is>
      </c>
      <c r="E65" t="inlineStr">
        <is>
          <t>Vikram Reddy</t>
        </is>
      </c>
      <c r="F65" s="23" t="n">
        <v>28317.95</v>
      </c>
      <c r="I65" s="24" t="n">
        <v>281671.02</v>
      </c>
      <c r="J65" s="18" t="n">
        <v>9.9467</v>
      </c>
      <c r="K65" t="inlineStr">
        <is>
          <t>Subscription by Vikram Reddy (AVBRS7890E)</t>
        </is>
      </c>
    </row>
    <row r="66">
      <c r="A66" t="n">
        <v>62</v>
      </c>
      <c r="B66" s="22" t="n">
        <v>46268</v>
      </c>
      <c r="C66" t="inlineStr">
        <is>
          <t>BETA_DEBT</t>
        </is>
      </c>
      <c r="D66" t="inlineStr">
        <is>
          <t>TRADE</t>
        </is>
      </c>
      <c r="E66" t="inlineStr">
        <is>
          <t>GOI8.2-33</t>
        </is>
      </c>
      <c r="G66" s="19" t="n">
        <v>-1200</v>
      </c>
      <c r="H66" s="23" t="n">
        <v>109.11</v>
      </c>
      <c r="I66" s="24" t="n">
        <v>130932</v>
      </c>
      <c r="K66" t="inlineStr">
        <is>
          <t>SELL 1200 GOI8.2-33 @ 109.11</t>
        </is>
      </c>
    </row>
    <row r="67">
      <c r="A67" t="n">
        <v>63</v>
      </c>
      <c r="B67" s="22" t="n">
        <v>46268</v>
      </c>
      <c r="C67" t="inlineStr">
        <is>
          <t>BETA_DEBT</t>
        </is>
      </c>
      <c r="D67" t="inlineStr">
        <is>
          <t>TRADE</t>
        </is>
      </c>
      <c r="E67" t="inlineStr">
        <is>
          <t>NCD-REL</t>
        </is>
      </c>
      <c r="G67" s="19" t="n">
        <v>500</v>
      </c>
      <c r="H67" s="23" t="n">
        <v>1002.499</v>
      </c>
      <c r="I67" s="24" t="n">
        <v>-501249.5</v>
      </c>
      <c r="K67" t="inlineStr">
        <is>
          <t>BUY 500 NCD-REL @ 1002.499</t>
        </is>
      </c>
    </row>
    <row r="68">
      <c r="A68" t="n">
        <v>64</v>
      </c>
      <c r="B68" s="22" t="n">
        <v>46268</v>
      </c>
      <c r="C68" t="inlineStr">
        <is>
          <t>BETA_DEBT</t>
        </is>
      </c>
      <c r="D68" t="inlineStr">
        <is>
          <t>TRADE</t>
        </is>
      </c>
      <c r="E68" t="inlineStr">
        <is>
          <t>GOI8.2-33</t>
        </is>
      </c>
      <c r="G68" s="19" t="n">
        <v>600</v>
      </c>
      <c r="H68" s="23" t="n">
        <v>109.4061</v>
      </c>
      <c r="I68" s="24" t="n">
        <v>-65643.66</v>
      </c>
      <c r="K68" t="inlineStr">
        <is>
          <t>BUY 600 GOI8.2-33 @ 109.4061</t>
        </is>
      </c>
    </row>
    <row r="69">
      <c r="A69" t="n">
        <v>65</v>
      </c>
      <c r="B69" s="22" t="n">
        <v>46268</v>
      </c>
      <c r="C69" t="inlineStr">
        <is>
          <t>GAMMA_BAL</t>
        </is>
      </c>
      <c r="D69" t="inlineStr">
        <is>
          <t>REDEMPTION</t>
        </is>
      </c>
      <c r="E69" t="inlineStr">
        <is>
          <t>Arjun Patel</t>
        </is>
      </c>
      <c r="F69" s="23" t="n">
        <v>-8038.4062</v>
      </c>
      <c r="I69" s="24" t="n">
        <v>-78960.08</v>
      </c>
      <c r="J69" s="18" t="n">
        <v>9.822900000000001</v>
      </c>
      <c r="K69" t="inlineStr">
        <is>
          <t>Redemption by Arjun Patel (APAPL6789I)</t>
        </is>
      </c>
    </row>
    <row r="70">
      <c r="A70" t="n">
        <v>66</v>
      </c>
      <c r="B70" s="22" t="n">
        <v>46268</v>
      </c>
      <c r="C70" t="inlineStr">
        <is>
          <t>GAMMA_BAL</t>
        </is>
      </c>
      <c r="D70" t="inlineStr">
        <is>
          <t>TRADE</t>
        </is>
      </c>
      <c r="E70" t="inlineStr">
        <is>
          <t>LT</t>
        </is>
      </c>
      <c r="G70" s="19" t="n">
        <v>-1200</v>
      </c>
      <c r="H70" s="23" t="n">
        <v>2416.2803</v>
      </c>
      <c r="I70" s="24" t="n">
        <v>2899536.36</v>
      </c>
      <c r="K70" t="inlineStr">
        <is>
          <t>SELL 1200 LT @ 2416.2803</t>
        </is>
      </c>
    </row>
    <row r="71">
      <c r="A71" t="n">
        <v>67</v>
      </c>
      <c r="B71" s="22" t="n">
        <v>46268</v>
      </c>
      <c r="C71" t="inlineStr">
        <is>
          <t>GAMMA_BAL</t>
        </is>
      </c>
      <c r="D71" t="inlineStr">
        <is>
          <t>TRADE</t>
        </is>
      </c>
      <c r="E71" t="inlineStr">
        <is>
          <t>MARUTI</t>
        </is>
      </c>
      <c r="G71" s="19" t="n">
        <v>-300</v>
      </c>
      <c r="H71" s="23" t="n">
        <v>1831.1902</v>
      </c>
      <c r="I71" s="24" t="n">
        <v>549357.0600000001</v>
      </c>
      <c r="K71" t="inlineStr">
        <is>
          <t>SELL 300 MARUTI @ 1831.1902</t>
        </is>
      </c>
    </row>
    <row r="72">
      <c r="A72" t="n">
        <v>68</v>
      </c>
      <c r="B72" s="22" t="n">
        <v>46269</v>
      </c>
      <c r="C72" t="inlineStr">
        <is>
          <t>ALPHA_EQ</t>
        </is>
      </c>
      <c r="D72" t="inlineStr">
        <is>
          <t>SUBSCRIPTION</t>
        </is>
      </c>
      <c r="E72" t="inlineStr">
        <is>
          <t>Aarav Sharma</t>
        </is>
      </c>
      <c r="F72" s="23" t="n">
        <v>17966.6166</v>
      </c>
      <c r="I72" s="24" t="n">
        <v>176807.91</v>
      </c>
      <c r="J72" s="18" t="n">
        <v>9.8409</v>
      </c>
      <c r="K72" t="inlineStr">
        <is>
          <t>Subscription by Aarav Sharma (AAAPS1234A)</t>
        </is>
      </c>
    </row>
    <row r="73">
      <c r="A73" t="n">
        <v>69</v>
      </c>
      <c r="B73" s="22" t="n">
        <v>46269</v>
      </c>
      <c r="C73" t="inlineStr">
        <is>
          <t>ALPHA_EQ</t>
        </is>
      </c>
      <c r="D73" t="inlineStr">
        <is>
          <t>TRADE</t>
        </is>
      </c>
      <c r="E73" t="inlineStr">
        <is>
          <t>TCS</t>
        </is>
      </c>
      <c r="G73" s="19" t="n">
        <v>2000</v>
      </c>
      <c r="H73" s="23" t="n">
        <v>3711.2376</v>
      </c>
      <c r="I73" s="24" t="n">
        <v>-7422475.2</v>
      </c>
      <c r="K73" t="inlineStr">
        <is>
          <t>BUY 2000 TCS @ 3711.2376</t>
        </is>
      </c>
    </row>
    <row r="74">
      <c r="A74" t="n">
        <v>70</v>
      </c>
      <c r="B74" s="22" t="n">
        <v>46269</v>
      </c>
      <c r="C74" t="inlineStr">
        <is>
          <t>ALPHA_EQ</t>
        </is>
      </c>
      <c r="D74" t="inlineStr">
        <is>
          <t>TRADE</t>
        </is>
      </c>
      <c r="E74" t="inlineStr">
        <is>
          <t>ITC</t>
        </is>
      </c>
      <c r="G74" s="19" t="n">
        <v>3000</v>
      </c>
      <c r="H74" s="23" t="n">
        <v>471.9884</v>
      </c>
      <c r="I74" s="24" t="n">
        <v>-1415965.2</v>
      </c>
      <c r="K74" t="inlineStr">
        <is>
          <t>BUY 3000 ITC @ 471.9884</t>
        </is>
      </c>
    </row>
    <row r="75">
      <c r="A75" t="n">
        <v>71</v>
      </c>
      <c r="B75" s="22" t="n">
        <v>46269</v>
      </c>
      <c r="C75" t="inlineStr">
        <is>
          <t>ALPHA_EQ</t>
        </is>
      </c>
      <c r="D75" t="inlineStr">
        <is>
          <t>TRADE</t>
        </is>
      </c>
      <c r="E75" t="inlineStr">
        <is>
          <t>ICICIBANK</t>
        </is>
      </c>
      <c r="G75" s="19" t="n">
        <v>-700</v>
      </c>
      <c r="H75" s="23" t="n">
        <v>1251.4836</v>
      </c>
      <c r="I75" s="24" t="n">
        <v>876038.52</v>
      </c>
      <c r="K75" t="inlineStr">
        <is>
          <t>SELL 700 ICICIBANK @ 1251.4836</t>
        </is>
      </c>
    </row>
    <row r="76">
      <c r="A76" t="n">
        <v>72</v>
      </c>
      <c r="B76" s="22" t="n">
        <v>46269</v>
      </c>
      <c r="C76" t="inlineStr">
        <is>
          <t>BETA_DEBT</t>
        </is>
      </c>
      <c r="D76" t="inlineStr">
        <is>
          <t>REDEMPTION</t>
        </is>
      </c>
      <c r="E76" t="inlineStr">
        <is>
          <t>Rahul Mehta</t>
        </is>
      </c>
      <c r="F76" s="23" t="n">
        <v>-59857.8995</v>
      </c>
      <c r="I76" s="24" t="n">
        <v>-596336.84</v>
      </c>
      <c r="J76" s="18" t="n">
        <v>9.9625</v>
      </c>
      <c r="K76" t="inlineStr">
        <is>
          <t>Redemption by Rahul Mehta (ACARM6789C)</t>
        </is>
      </c>
    </row>
    <row r="77">
      <c r="A77" t="n">
        <v>73</v>
      </c>
      <c r="B77" s="22" t="n">
        <v>46269</v>
      </c>
      <c r="C77" t="inlineStr">
        <is>
          <t>BETA_DEBT</t>
        </is>
      </c>
      <c r="D77" t="inlineStr">
        <is>
          <t>SUBSCRIPTION</t>
        </is>
      </c>
      <c r="E77" t="inlineStr">
        <is>
          <t>Priya Nair</t>
        </is>
      </c>
      <c r="F77" s="23" t="n">
        <v>701.5519</v>
      </c>
      <c r="I77" s="24" t="n">
        <v>6989.24</v>
      </c>
      <c r="J77" s="18" t="n">
        <v>9.9625</v>
      </c>
      <c r="K77" t="inlineStr">
        <is>
          <t>Subscription by Priya Nair (ABCPN5678B)</t>
        </is>
      </c>
    </row>
    <row r="78">
      <c r="A78" t="n">
        <v>74</v>
      </c>
      <c r="B78" s="22" t="n">
        <v>46269</v>
      </c>
      <c r="C78" t="inlineStr">
        <is>
          <t>BETA_DEBT</t>
        </is>
      </c>
      <c r="D78" t="inlineStr">
        <is>
          <t>TRADE</t>
        </is>
      </c>
      <c r="E78" t="inlineStr">
        <is>
          <t>SDL-MH-32</t>
        </is>
      </c>
      <c r="G78" s="19" t="n">
        <v>-800</v>
      </c>
      <c r="H78" s="23" t="n">
        <v>102.0101</v>
      </c>
      <c r="I78" s="24" t="n">
        <v>81608.08</v>
      </c>
      <c r="K78" t="inlineStr">
        <is>
          <t>SELL 800 SDL-MH-32 @ 102.0101</t>
        </is>
      </c>
    </row>
    <row r="79">
      <c r="A79" t="n">
        <v>75</v>
      </c>
      <c r="B79" s="22" t="n">
        <v>46269</v>
      </c>
      <c r="C79" t="inlineStr">
        <is>
          <t>GAMMA_BAL</t>
        </is>
      </c>
      <c r="D79" t="inlineStr">
        <is>
          <t>SUBSCRIPTION</t>
        </is>
      </c>
      <c r="E79" t="inlineStr">
        <is>
          <t>Deepa Kulkarni</t>
        </is>
      </c>
      <c r="F79" s="23" t="n">
        <v>14616.6738</v>
      </c>
      <c r="I79" s="24" t="n">
        <v>143412.18</v>
      </c>
      <c r="J79" s="18" t="n">
        <v>9.811500000000001</v>
      </c>
      <c r="K79" t="inlineStr">
        <is>
          <t>Subscription by Deepa Kulkarni (DKDKL5678H)</t>
        </is>
      </c>
    </row>
    <row r="80">
      <c r="A80" t="n">
        <v>76</v>
      </c>
      <c r="B80" s="22" t="n">
        <v>46269</v>
      </c>
      <c r="C80" t="inlineStr">
        <is>
          <t>GAMMA_BAL</t>
        </is>
      </c>
      <c r="D80" t="inlineStr">
        <is>
          <t>TRADE</t>
        </is>
      </c>
      <c r="E80" t="inlineStr">
        <is>
          <t>HDFCBANK</t>
        </is>
      </c>
      <c r="G80" s="19" t="n">
        <v>1500</v>
      </c>
      <c r="H80" s="23" t="n">
        <v>1656.3549</v>
      </c>
      <c r="I80" s="24" t="n">
        <v>-2484532.35</v>
      </c>
      <c r="K80" t="inlineStr">
        <is>
          <t>BUY 1500 HDFCBANK @ 1656.3549</t>
        </is>
      </c>
    </row>
    <row r="81">
      <c r="A81" t="n">
        <v>77</v>
      </c>
      <c r="B81" s="22" t="n">
        <v>46269</v>
      </c>
      <c r="C81" t="inlineStr">
        <is>
          <t>GAMMA_BAL</t>
        </is>
      </c>
      <c r="D81" t="inlineStr">
        <is>
          <t>TRADE</t>
        </is>
      </c>
      <c r="E81" t="inlineStr">
        <is>
          <t>GOI7.26-36</t>
        </is>
      </c>
      <c r="G81" s="19" t="n">
        <v>-3000</v>
      </c>
      <c r="H81" s="23" t="n">
        <v>103.4126</v>
      </c>
      <c r="I81" s="24" t="n">
        <v>310237.8</v>
      </c>
      <c r="K81" t="inlineStr">
        <is>
          <t>SELL 3000 GOI7.26-36 @ 103.4126</t>
        </is>
      </c>
    </row>
    <row r="82">
      <c r="A82" t="n">
        <v>78</v>
      </c>
      <c r="B82" s="22" t="n">
        <v>46272</v>
      </c>
      <c r="C82" t="inlineStr">
        <is>
          <t>ALPHA_EQ</t>
        </is>
      </c>
      <c r="D82" t="inlineStr">
        <is>
          <t>REDEMPTION</t>
        </is>
      </c>
      <c r="E82" t="inlineStr">
        <is>
          <t>Ananya Gupta</t>
        </is>
      </c>
      <c r="F82" s="23" t="n">
        <v>-28866.4405</v>
      </c>
      <c r="I82" s="24" t="n">
        <v>-286347.76</v>
      </c>
      <c r="J82" s="18" t="n">
        <v>9.919700000000001</v>
      </c>
      <c r="K82" t="inlineStr">
        <is>
          <t>Redemption by Ananya Gupta (AANJG3456F)</t>
        </is>
      </c>
    </row>
    <row r="83">
      <c r="A83" t="n">
        <v>79</v>
      </c>
      <c r="B83" s="22" t="n">
        <v>46272</v>
      </c>
      <c r="C83" t="inlineStr">
        <is>
          <t>ALPHA_EQ</t>
        </is>
      </c>
      <c r="D83" t="inlineStr">
        <is>
          <t>SUBSCRIPTION</t>
        </is>
      </c>
      <c r="E83" t="inlineStr">
        <is>
          <t>Rahul Mehta</t>
        </is>
      </c>
      <c r="F83" s="23" t="n">
        <v>32556.0701</v>
      </c>
      <c r="I83" s="24" t="n">
        <v>322947.95</v>
      </c>
      <c r="J83" s="18" t="n">
        <v>9.919700000000001</v>
      </c>
      <c r="K83" t="inlineStr">
        <is>
          <t>Subscription by Rahul Mehta (ACARM6789C)</t>
        </is>
      </c>
    </row>
    <row r="84">
      <c r="A84" t="n">
        <v>80</v>
      </c>
      <c r="B84" s="22" t="n">
        <v>46272</v>
      </c>
      <c r="C84" t="inlineStr">
        <is>
          <t>ALPHA_EQ</t>
        </is>
      </c>
      <c r="D84" t="inlineStr">
        <is>
          <t>TRADE</t>
        </is>
      </c>
      <c r="E84" t="inlineStr">
        <is>
          <t>INFY</t>
        </is>
      </c>
      <c r="G84" s="19" t="n">
        <v>-3000</v>
      </c>
      <c r="H84" s="23" t="n">
        <v>1654.5497</v>
      </c>
      <c r="I84" s="24" t="n">
        <v>4963649.1</v>
      </c>
      <c r="K84" t="inlineStr">
        <is>
          <t>SELL 3000 INFY @ 1654.5497</t>
        </is>
      </c>
    </row>
    <row r="85">
      <c r="A85" t="n">
        <v>81</v>
      </c>
      <c r="B85" s="22" t="n">
        <v>46272</v>
      </c>
      <c r="C85" t="inlineStr">
        <is>
          <t>ALPHA_EQ</t>
        </is>
      </c>
      <c r="D85" t="inlineStr">
        <is>
          <t>TRADE</t>
        </is>
      </c>
      <c r="E85" t="inlineStr">
        <is>
          <t>TCS</t>
        </is>
      </c>
      <c r="G85" s="19" t="n">
        <v>-2500</v>
      </c>
      <c r="H85" s="23" t="n">
        <v>3708.4989</v>
      </c>
      <c r="I85" s="24" t="n">
        <v>9271247.25</v>
      </c>
      <c r="K85" t="inlineStr">
        <is>
          <t>SELL 2500 TCS @ 3708.4989</t>
        </is>
      </c>
    </row>
    <row r="86">
      <c r="A86" t="n">
        <v>82</v>
      </c>
      <c r="B86" s="22" t="n">
        <v>46272</v>
      </c>
      <c r="C86" t="inlineStr">
        <is>
          <t>BETA_DEBT</t>
        </is>
      </c>
      <c r="D86" t="inlineStr">
        <is>
          <t>SUBSCRIPTION</t>
        </is>
      </c>
      <c r="E86" t="inlineStr">
        <is>
          <t>Karan Singh</t>
        </is>
      </c>
      <c r="F86" s="23" t="n">
        <v>17794.5931</v>
      </c>
      <c r="I86" s="24" t="n">
        <v>178943.58</v>
      </c>
      <c r="J86" s="18" t="n">
        <v>10.0561</v>
      </c>
      <c r="K86" t="inlineStr">
        <is>
          <t>Subscription by Karan Singh (AKLSG4567G)</t>
        </is>
      </c>
    </row>
    <row r="87">
      <c r="A87" t="n">
        <v>83</v>
      </c>
      <c r="B87" s="22" t="n">
        <v>46272</v>
      </c>
      <c r="C87" t="inlineStr">
        <is>
          <t>BETA_DEBT</t>
        </is>
      </c>
      <c r="D87" t="inlineStr">
        <is>
          <t>TRADE</t>
        </is>
      </c>
      <c r="E87" t="inlineStr">
        <is>
          <t>NCD-REL</t>
        </is>
      </c>
      <c r="G87" s="19" t="n">
        <v>-400</v>
      </c>
      <c r="H87" s="23" t="n">
        <v>1000.4645</v>
      </c>
      <c r="I87" s="24" t="n">
        <v>400185.8</v>
      </c>
      <c r="K87" t="inlineStr">
        <is>
          <t>SELL 400 NCD-REL @ 1000.4645</t>
        </is>
      </c>
    </row>
    <row r="88">
      <c r="A88" t="n">
        <v>84</v>
      </c>
      <c r="B88" s="22" t="n">
        <v>46272</v>
      </c>
      <c r="C88" t="inlineStr">
        <is>
          <t>GAMMA_BAL</t>
        </is>
      </c>
      <c r="D88" t="inlineStr">
        <is>
          <t>REDEMPTION</t>
        </is>
      </c>
      <c r="E88" t="inlineStr">
        <is>
          <t>Sneha Iyer</t>
        </is>
      </c>
      <c r="F88" s="23" t="n">
        <v>-10206.0002</v>
      </c>
      <c r="I88" s="24" t="n">
        <v>-99575.63</v>
      </c>
      <c r="J88" s="18" t="n">
        <v>9.756600000000001</v>
      </c>
      <c r="K88" t="inlineStr">
        <is>
          <t>Redemption by Sneha Iyer (ADSIS2345D)</t>
        </is>
      </c>
    </row>
    <row r="89">
      <c r="A89" t="n">
        <v>85</v>
      </c>
      <c r="B89" s="22" t="n">
        <v>46272</v>
      </c>
      <c r="C89" t="inlineStr">
        <is>
          <t>GAMMA_BAL</t>
        </is>
      </c>
      <c r="D89" t="inlineStr">
        <is>
          <t>TRADE</t>
        </is>
      </c>
      <c r="E89" t="inlineStr">
        <is>
          <t>HDFCBANK</t>
        </is>
      </c>
      <c r="G89" s="19" t="n">
        <v>1500</v>
      </c>
      <c r="H89" s="23" t="n">
        <v>1633.0006</v>
      </c>
      <c r="I89" s="24" t="n">
        <v>-2449500.9</v>
      </c>
      <c r="K89" t="inlineStr">
        <is>
          <t>BUY 1500 HDFCBANK @ 1633.0006</t>
        </is>
      </c>
    </row>
    <row r="90">
      <c r="A90" t="n">
        <v>86</v>
      </c>
      <c r="B90" s="22" t="n">
        <v>46272</v>
      </c>
      <c r="C90" t="inlineStr">
        <is>
          <t>GAMMA_BAL</t>
        </is>
      </c>
      <c r="D90" t="inlineStr">
        <is>
          <t>TRADE</t>
        </is>
      </c>
      <c r="E90" t="inlineStr">
        <is>
          <t>LT</t>
        </is>
      </c>
      <c r="G90" s="19" t="n">
        <v>800</v>
      </c>
      <c r="H90" s="23" t="n">
        <v>2478.4679</v>
      </c>
      <c r="I90" s="24" t="n">
        <v>-1982774.32</v>
      </c>
      <c r="K90" t="inlineStr">
        <is>
          <t>BUY 800 LT @ 2478.4679</t>
        </is>
      </c>
    </row>
    <row r="91">
      <c r="A91" t="n">
        <v>87</v>
      </c>
      <c r="B91" s="22" t="n">
        <v>46272</v>
      </c>
      <c r="C91" t="inlineStr">
        <is>
          <t>GAMMA_BAL</t>
        </is>
      </c>
      <c r="D91" t="inlineStr">
        <is>
          <t>TRADE</t>
        </is>
      </c>
      <c r="E91" t="inlineStr">
        <is>
          <t>MARUTI</t>
        </is>
      </c>
      <c r="G91" s="19" t="n">
        <v>100</v>
      </c>
      <c r="H91" s="23" t="n">
        <v>1788.0329</v>
      </c>
      <c r="I91" s="24" t="n">
        <v>-178803.29</v>
      </c>
      <c r="K91" t="inlineStr">
        <is>
          <t>BUY 100 MARUTI @ 1788.0329</t>
        </is>
      </c>
    </row>
    <row r="92">
      <c r="A92" t="n">
        <v>88</v>
      </c>
      <c r="B92" s="22" t="n">
        <v>46273</v>
      </c>
      <c r="C92" t="inlineStr">
        <is>
          <t>ALPHA_EQ</t>
        </is>
      </c>
      <c r="D92" t="inlineStr">
        <is>
          <t>REDEMPTION</t>
        </is>
      </c>
      <c r="E92" t="inlineStr">
        <is>
          <t>Priya Nair</t>
        </is>
      </c>
      <c r="F92" s="23" t="n">
        <v>-20683.5023</v>
      </c>
      <c r="I92" s="24" t="n">
        <v>-204064.96</v>
      </c>
      <c r="J92" s="18" t="n">
        <v>9.866099999999999</v>
      </c>
      <c r="K92" t="inlineStr">
        <is>
          <t>Redemption by Priya Nair (ABCPN5678B)</t>
        </is>
      </c>
    </row>
    <row r="93">
      <c r="A93" t="n">
        <v>89</v>
      </c>
      <c r="B93" s="22" t="n">
        <v>46273</v>
      </c>
      <c r="C93" t="inlineStr">
        <is>
          <t>ALPHA_EQ</t>
        </is>
      </c>
      <c r="D93" t="inlineStr">
        <is>
          <t>SUBSCRIPTION</t>
        </is>
      </c>
      <c r="E93" t="inlineStr">
        <is>
          <t>Meera Joshi</t>
        </is>
      </c>
      <c r="F93" s="23" t="n">
        <v>35992.7504</v>
      </c>
      <c r="I93" s="24" t="n">
        <v>355107.14</v>
      </c>
      <c r="J93" s="18" t="n">
        <v>9.866099999999999</v>
      </c>
      <c r="K93" t="inlineStr">
        <is>
          <t>Subscription by Meera Joshi (MMJMJ7890K)</t>
        </is>
      </c>
    </row>
    <row r="94">
      <c r="A94" t="n">
        <v>90</v>
      </c>
      <c r="B94" s="22" t="n">
        <v>46273</v>
      </c>
      <c r="C94" t="inlineStr">
        <is>
          <t>ALPHA_EQ</t>
        </is>
      </c>
      <c r="D94" t="inlineStr">
        <is>
          <t>TRADE</t>
        </is>
      </c>
      <c r="E94" t="inlineStr">
        <is>
          <t>RELIANCE</t>
        </is>
      </c>
      <c r="G94" s="19" t="n">
        <v>1400</v>
      </c>
      <c r="H94" s="23" t="n">
        <v>1521.1175</v>
      </c>
      <c r="I94" s="24" t="n">
        <v>-2129564.5</v>
      </c>
      <c r="K94" t="inlineStr">
        <is>
          <t>BUY 1400 RELIANCE @ 1521.1175</t>
        </is>
      </c>
    </row>
    <row r="95">
      <c r="A95" t="n">
        <v>91</v>
      </c>
      <c r="B95" s="22" t="n">
        <v>46273</v>
      </c>
      <c r="C95" t="inlineStr">
        <is>
          <t>BETA_DEBT</t>
        </is>
      </c>
      <c r="D95" t="inlineStr">
        <is>
          <t>SUBSCRIPTION</t>
        </is>
      </c>
      <c r="E95" t="inlineStr">
        <is>
          <t>Sneha Iyer</t>
        </is>
      </c>
      <c r="F95" s="23" t="n">
        <v>27458.8446</v>
      </c>
      <c r="I95" s="24" t="n">
        <v>277523.96</v>
      </c>
      <c r="J95" s="18" t="n">
        <v>10.1069</v>
      </c>
      <c r="K95" t="inlineStr">
        <is>
          <t>Subscription by Sneha Iyer (ADSIS2345D)</t>
        </is>
      </c>
    </row>
    <row r="96">
      <c r="A96" t="n">
        <v>92</v>
      </c>
      <c r="B96" s="22" t="n">
        <v>46273</v>
      </c>
      <c r="C96" t="inlineStr">
        <is>
          <t>BETA_DEBT</t>
        </is>
      </c>
      <c r="D96" t="inlineStr">
        <is>
          <t>TRADE</t>
        </is>
      </c>
      <c r="E96" t="inlineStr">
        <is>
          <t>CP-TATA</t>
        </is>
      </c>
      <c r="G96" s="19" t="n">
        <v>700</v>
      </c>
      <c r="H96" s="23" t="n">
        <v>99.9765</v>
      </c>
      <c r="I96" s="24" t="n">
        <v>-69983.55</v>
      </c>
      <c r="K96" t="inlineStr">
        <is>
          <t>BUY 700 CP-TATA @ 99.9765</t>
        </is>
      </c>
    </row>
    <row r="97">
      <c r="A97" t="n">
        <v>93</v>
      </c>
      <c r="B97" s="22" t="n">
        <v>46273</v>
      </c>
      <c r="C97" t="inlineStr">
        <is>
          <t>GAMMA_BAL</t>
        </is>
      </c>
      <c r="D97" t="inlineStr">
        <is>
          <t>SUBSCRIPTION</t>
        </is>
      </c>
      <c r="E97" t="inlineStr">
        <is>
          <t>Aarav Sharma</t>
        </is>
      </c>
      <c r="F97" s="23" t="n">
        <v>39249.7373</v>
      </c>
      <c r="I97" s="24" t="n">
        <v>386547.55</v>
      </c>
      <c r="J97" s="18" t="n">
        <v>9.8484</v>
      </c>
      <c r="K97" t="inlineStr">
        <is>
          <t>Subscription by Aarav Sharma (AAAPS1234A)</t>
        </is>
      </c>
    </row>
    <row r="98">
      <c r="A98" t="n">
        <v>94</v>
      </c>
      <c r="B98" s="22" t="n">
        <v>46273</v>
      </c>
      <c r="C98" t="inlineStr">
        <is>
          <t>GAMMA_BAL</t>
        </is>
      </c>
      <c r="D98" t="inlineStr">
        <is>
          <t>TRADE</t>
        </is>
      </c>
      <c r="E98" t="inlineStr">
        <is>
          <t>GOI7.26-36</t>
        </is>
      </c>
      <c r="G98" s="19" t="n">
        <v>-2000</v>
      </c>
      <c r="H98" s="23" t="n">
        <v>103.124</v>
      </c>
      <c r="I98" s="24" t="n">
        <v>206248</v>
      </c>
      <c r="K98" t="inlineStr">
        <is>
          <t>SELL 2000 GOI7.26-36 @ 103.124</t>
        </is>
      </c>
    </row>
    <row r="99">
      <c r="A99" t="n">
        <v>95</v>
      </c>
      <c r="B99" s="22" t="n">
        <v>46273</v>
      </c>
      <c r="C99" t="inlineStr">
        <is>
          <t>GAMMA_BAL</t>
        </is>
      </c>
      <c r="D99" t="inlineStr">
        <is>
          <t>TRADE</t>
        </is>
      </c>
      <c r="E99" t="inlineStr">
        <is>
          <t>INFY</t>
        </is>
      </c>
      <c r="G99" s="19" t="n">
        <v>1000</v>
      </c>
      <c r="H99" s="23" t="n">
        <v>1643.1849</v>
      </c>
      <c r="I99" s="24" t="n">
        <v>-1643184.9</v>
      </c>
      <c r="K99" t="inlineStr">
        <is>
          <t>BUY 1000 INFY @ 1643.1849</t>
        </is>
      </c>
    </row>
    <row r="100">
      <c r="A100" t="n">
        <v>96</v>
      </c>
      <c r="B100" s="22" t="n">
        <v>46274</v>
      </c>
      <c r="C100" t="inlineStr">
        <is>
          <t>ALPHA_EQ</t>
        </is>
      </c>
      <c r="D100" t="inlineStr">
        <is>
          <t>REDEMPTION</t>
        </is>
      </c>
      <c r="E100" t="inlineStr">
        <is>
          <t>Deepa Kulkarni</t>
        </is>
      </c>
      <c r="F100" s="23" t="n">
        <v>-14546.9173</v>
      </c>
      <c r="I100" s="24" t="n">
        <v>-143204.96</v>
      </c>
      <c r="J100" s="18" t="n">
        <v>9.8444</v>
      </c>
      <c r="K100" t="inlineStr">
        <is>
          <t>Redemption by Deepa Kulkarni (DKDKL5678H)</t>
        </is>
      </c>
    </row>
    <row r="101">
      <c r="A101" t="n">
        <v>97</v>
      </c>
      <c r="B101" s="22" t="n">
        <v>46274</v>
      </c>
      <c r="C101" t="inlineStr">
        <is>
          <t>ALPHA_EQ</t>
        </is>
      </c>
      <c r="D101" t="inlineStr">
        <is>
          <t>SUBSCRIPTION</t>
        </is>
      </c>
      <c r="E101" t="inlineStr">
        <is>
          <t>Vikram Reddy</t>
        </is>
      </c>
      <c r="F101" s="23" t="n">
        <v>3944.2437</v>
      </c>
      <c r="I101" s="24" t="n">
        <v>38828.52</v>
      </c>
      <c r="J101" s="18" t="n">
        <v>9.8444</v>
      </c>
      <c r="K101" t="inlineStr">
        <is>
          <t>Subscription by Vikram Reddy (AVBRS7890E)</t>
        </is>
      </c>
    </row>
    <row r="102">
      <c r="A102" t="n">
        <v>98</v>
      </c>
      <c r="B102" s="22" t="n">
        <v>46274</v>
      </c>
      <c r="C102" t="inlineStr">
        <is>
          <t>ALPHA_EQ</t>
        </is>
      </c>
      <c r="D102" t="inlineStr">
        <is>
          <t>TRADE</t>
        </is>
      </c>
      <c r="E102" t="inlineStr">
        <is>
          <t>HDFCBANK</t>
        </is>
      </c>
      <c r="G102" s="19" t="n">
        <v>-1000</v>
      </c>
      <c r="H102" s="23" t="n">
        <v>1623.0098</v>
      </c>
      <c r="I102" s="24" t="n">
        <v>1623009.8</v>
      </c>
      <c r="K102" t="inlineStr">
        <is>
          <t>SELL 1000 HDFCBANK @ 1623.0098</t>
        </is>
      </c>
    </row>
    <row r="103">
      <c r="A103" t="n">
        <v>99</v>
      </c>
      <c r="B103" s="22" t="n">
        <v>46274</v>
      </c>
      <c r="C103" t="inlineStr">
        <is>
          <t>ALPHA_EQ</t>
        </is>
      </c>
      <c r="D103" t="inlineStr">
        <is>
          <t>TRADE</t>
        </is>
      </c>
      <c r="E103" t="inlineStr">
        <is>
          <t>ITC</t>
        </is>
      </c>
      <c r="G103" s="19" t="n">
        <v>-400</v>
      </c>
      <c r="H103" s="23" t="n">
        <v>472.9039</v>
      </c>
      <c r="I103" s="24" t="n">
        <v>189161.56</v>
      </c>
      <c r="K103" t="inlineStr">
        <is>
          <t>SELL 400 ITC @ 472.9039</t>
        </is>
      </c>
    </row>
    <row r="104">
      <c r="A104" t="n">
        <v>100</v>
      </c>
      <c r="B104" s="22" t="n">
        <v>46274</v>
      </c>
      <c r="C104" t="inlineStr">
        <is>
          <t>BETA_DEBT</t>
        </is>
      </c>
      <c r="D104" t="inlineStr">
        <is>
          <t>TRADE</t>
        </is>
      </c>
      <c r="E104" t="inlineStr">
        <is>
          <t>SDL-MH-32</t>
        </is>
      </c>
      <c r="G104" s="19" t="n">
        <v>-3500</v>
      </c>
      <c r="H104" s="23" t="n">
        <v>102.7628</v>
      </c>
      <c r="I104" s="24" t="n">
        <v>359669.8</v>
      </c>
      <c r="K104" t="inlineStr">
        <is>
          <t>SELL 3500 SDL-MH-32 @ 102.7628</t>
        </is>
      </c>
    </row>
    <row r="105">
      <c r="A105" t="n">
        <v>101</v>
      </c>
      <c r="B105" s="22" t="n">
        <v>46274</v>
      </c>
      <c r="C105" t="inlineStr">
        <is>
          <t>GAMMA_BAL</t>
        </is>
      </c>
      <c r="D105" t="inlineStr">
        <is>
          <t>REDEMPTION</t>
        </is>
      </c>
      <c r="E105" t="inlineStr">
        <is>
          <t>Ananya Gupta</t>
        </is>
      </c>
      <c r="F105" s="23" t="n">
        <v>-43322.2092</v>
      </c>
      <c r="I105" s="24" t="n">
        <v>-428719.45</v>
      </c>
      <c r="J105" s="18" t="n">
        <v>9.896100000000001</v>
      </c>
      <c r="K105" t="inlineStr">
        <is>
          <t>Redemption by Ananya Gupta (AANJG3456F)</t>
        </is>
      </c>
    </row>
    <row r="106">
      <c r="A106" t="n">
        <v>102</v>
      </c>
      <c r="B106" s="22" t="n">
        <v>46274</v>
      </c>
      <c r="C106" t="inlineStr">
        <is>
          <t>GAMMA_BAL</t>
        </is>
      </c>
      <c r="D106" t="inlineStr">
        <is>
          <t>SUBSCRIPTION</t>
        </is>
      </c>
      <c r="E106" t="inlineStr">
        <is>
          <t>Ananya Gupta</t>
        </is>
      </c>
      <c r="F106" s="23" t="n">
        <v>9435.505800000001</v>
      </c>
      <c r="I106" s="24" t="n">
        <v>93374.39</v>
      </c>
      <c r="J106" s="18" t="n">
        <v>9.896100000000001</v>
      </c>
      <c r="K106" t="inlineStr">
        <is>
          <t>Subscription by Ananya Gupta (AANJG3456F)</t>
        </is>
      </c>
    </row>
    <row r="107">
      <c r="A107" t="n">
        <v>103</v>
      </c>
      <c r="B107" s="22" t="n">
        <v>46274</v>
      </c>
      <c r="C107" t="inlineStr">
        <is>
          <t>GAMMA_BAL</t>
        </is>
      </c>
      <c r="D107" t="inlineStr">
        <is>
          <t>TRADE</t>
        </is>
      </c>
      <c r="E107" t="inlineStr">
        <is>
          <t>INFY</t>
        </is>
      </c>
      <c r="G107" s="19" t="n">
        <v>800</v>
      </c>
      <c r="H107" s="23" t="n">
        <v>1622.1782</v>
      </c>
      <c r="I107" s="24" t="n">
        <v>-1297742.56</v>
      </c>
      <c r="K107" t="inlineStr">
        <is>
          <t>BUY 800 INFY @ 1622.1782</t>
        </is>
      </c>
    </row>
    <row r="108">
      <c r="A108" t="n">
        <v>104</v>
      </c>
      <c r="B108" s="22" t="n">
        <v>46275</v>
      </c>
      <c r="C108" t="inlineStr">
        <is>
          <t>ALPHA_EQ</t>
        </is>
      </c>
      <c r="D108" t="inlineStr">
        <is>
          <t>REDEMPTION</t>
        </is>
      </c>
      <c r="E108" t="inlineStr">
        <is>
          <t>Rahul Mehta</t>
        </is>
      </c>
      <c r="F108" s="23" t="n">
        <v>-22085.6419</v>
      </c>
      <c r="I108" s="24" t="n">
        <v>-216185.82</v>
      </c>
      <c r="J108" s="18" t="n">
        <v>9.788500000000001</v>
      </c>
      <c r="K108" t="inlineStr">
        <is>
          <t>Redemption by Rahul Mehta (ACARM6789C)</t>
        </is>
      </c>
    </row>
    <row r="109">
      <c r="A109" t="n">
        <v>105</v>
      </c>
      <c r="B109" s="22" t="n">
        <v>46275</v>
      </c>
      <c r="C109" t="inlineStr">
        <is>
          <t>ALPHA_EQ</t>
        </is>
      </c>
      <c r="D109" t="inlineStr">
        <is>
          <t>TRADE</t>
        </is>
      </c>
      <c r="E109" t="inlineStr">
        <is>
          <t>INFY</t>
        </is>
      </c>
      <c r="G109" s="19" t="n">
        <v>200</v>
      </c>
      <c r="H109" s="23" t="n">
        <v>1614.4442</v>
      </c>
      <c r="I109" s="24" t="n">
        <v>-322888.84</v>
      </c>
      <c r="K109" t="inlineStr">
        <is>
          <t>BUY 200 INFY @ 1614.4442</t>
        </is>
      </c>
    </row>
    <row r="110">
      <c r="A110" t="n">
        <v>106</v>
      </c>
      <c r="B110" s="22" t="n">
        <v>46275</v>
      </c>
      <c r="C110" t="inlineStr">
        <is>
          <t>ALPHA_EQ</t>
        </is>
      </c>
      <c r="D110" t="inlineStr">
        <is>
          <t>TRADE</t>
        </is>
      </c>
      <c r="E110" t="inlineStr">
        <is>
          <t>ITC</t>
        </is>
      </c>
      <c r="G110" s="19" t="n">
        <v>-800</v>
      </c>
      <c r="H110" s="23" t="n">
        <v>474.4183</v>
      </c>
      <c r="I110" s="24" t="n">
        <v>379534.64</v>
      </c>
      <c r="K110" t="inlineStr">
        <is>
          <t>SELL 800 ITC @ 474.4183</t>
        </is>
      </c>
    </row>
    <row r="111">
      <c r="A111" t="n">
        <v>107</v>
      </c>
      <c r="B111" s="22" t="n">
        <v>46275</v>
      </c>
      <c r="C111" t="inlineStr">
        <is>
          <t>BETA_DEBT</t>
        </is>
      </c>
      <c r="D111" t="inlineStr">
        <is>
          <t>REDEMPTION</t>
        </is>
      </c>
      <c r="E111" t="inlineStr">
        <is>
          <t>Aarav Sharma</t>
        </is>
      </c>
      <c r="F111" s="23" t="n">
        <v>-18792.4163</v>
      </c>
      <c r="I111" s="24" t="n">
        <v>-192075.03</v>
      </c>
      <c r="J111" s="18" t="n">
        <v>10.2209</v>
      </c>
      <c r="K111" t="inlineStr">
        <is>
          <t>Redemption by Aarav Sharma (AAAPS1234A)</t>
        </is>
      </c>
    </row>
    <row r="112">
      <c r="A112" t="n">
        <v>108</v>
      </c>
      <c r="B112" s="22" t="n">
        <v>46275</v>
      </c>
      <c r="C112" t="inlineStr">
        <is>
          <t>BETA_DEBT</t>
        </is>
      </c>
      <c r="D112" t="inlineStr">
        <is>
          <t>TRADE</t>
        </is>
      </c>
      <c r="E112" t="inlineStr">
        <is>
          <t>CP-TATA</t>
        </is>
      </c>
      <c r="G112" s="19" t="n">
        <v>1000</v>
      </c>
      <c r="H112" s="23" t="n">
        <v>99.89190000000001</v>
      </c>
      <c r="I112" s="24" t="n">
        <v>-99891.89999999999</v>
      </c>
      <c r="K112" t="inlineStr">
        <is>
          <t>BUY 1000 CP-TATA @ 99.8919</t>
        </is>
      </c>
    </row>
    <row r="113">
      <c r="A113" t="n">
        <v>109</v>
      </c>
      <c r="B113" s="22" t="n">
        <v>46275</v>
      </c>
      <c r="C113" t="inlineStr">
        <is>
          <t>BETA_DEBT</t>
        </is>
      </c>
      <c r="D113" t="inlineStr">
        <is>
          <t>TRADE</t>
        </is>
      </c>
      <c r="E113" t="inlineStr">
        <is>
          <t>GOI7.26-36</t>
        </is>
      </c>
      <c r="G113" s="19" t="n">
        <v>-2000</v>
      </c>
      <c r="H113" s="23" t="n">
        <v>103.8077</v>
      </c>
      <c r="I113" s="24" t="n">
        <v>207615.4</v>
      </c>
      <c r="K113" t="inlineStr">
        <is>
          <t>SELL 2000 GOI7.26-36 @ 103.8077</t>
        </is>
      </c>
    </row>
    <row r="114">
      <c r="A114" t="n">
        <v>110</v>
      </c>
      <c r="B114" s="22" t="n">
        <v>46275</v>
      </c>
      <c r="C114" t="inlineStr">
        <is>
          <t>GAMMA_BAL</t>
        </is>
      </c>
      <c r="D114" t="inlineStr">
        <is>
          <t>REDEMPTION</t>
        </is>
      </c>
      <c r="E114" t="inlineStr">
        <is>
          <t>Karan Singh</t>
        </is>
      </c>
      <c r="F114" s="23" t="n">
        <v>-8668.3649</v>
      </c>
      <c r="I114" s="24" t="n">
        <v>-86824.66</v>
      </c>
      <c r="J114" s="18" t="n">
        <v>10.0163</v>
      </c>
      <c r="K114" t="inlineStr">
        <is>
          <t>Redemption by Karan Singh (AKLSG4567G)</t>
        </is>
      </c>
    </row>
    <row r="115">
      <c r="A115" t="n">
        <v>111</v>
      </c>
      <c r="B115" s="22" t="n">
        <v>46275</v>
      </c>
      <c r="C115" t="inlineStr">
        <is>
          <t>GAMMA_BAL</t>
        </is>
      </c>
      <c r="D115" t="inlineStr">
        <is>
          <t>SUBSCRIPTION</t>
        </is>
      </c>
      <c r="E115" t="inlineStr">
        <is>
          <t>Vikram Reddy</t>
        </is>
      </c>
      <c r="F115" s="23" t="n">
        <v>6301.3105</v>
      </c>
      <c r="I115" s="24" t="n">
        <v>63115.61</v>
      </c>
      <c r="J115" s="18" t="n">
        <v>10.0163</v>
      </c>
      <c r="K115" t="inlineStr">
        <is>
          <t>Subscription by Vikram Reddy (AVBRS7890E)</t>
        </is>
      </c>
    </row>
    <row r="116">
      <c r="A116" t="n">
        <v>112</v>
      </c>
      <c r="B116" s="22" t="n">
        <v>46275</v>
      </c>
      <c r="C116" t="inlineStr">
        <is>
          <t>GAMMA_BAL</t>
        </is>
      </c>
      <c r="D116" t="inlineStr">
        <is>
          <t>TRADE</t>
        </is>
      </c>
      <c r="E116" t="inlineStr">
        <is>
          <t>MARUTI</t>
        </is>
      </c>
      <c r="G116" s="19" t="n">
        <v>1000</v>
      </c>
      <c r="H116" s="23" t="n">
        <v>1845.4927</v>
      </c>
      <c r="I116" s="24" t="n">
        <v>-1845492.7</v>
      </c>
      <c r="K116" t="inlineStr">
        <is>
          <t>BUY 1000 MARUTI @ 1845.4927</t>
        </is>
      </c>
    </row>
    <row r="117">
      <c r="A117" t="n">
        <v>113</v>
      </c>
      <c r="B117" s="22" t="n">
        <v>46275</v>
      </c>
      <c r="C117" t="inlineStr">
        <is>
          <t>GAMMA_BAL</t>
        </is>
      </c>
      <c r="D117" t="inlineStr">
        <is>
          <t>TRADE</t>
        </is>
      </c>
      <c r="E117" t="inlineStr">
        <is>
          <t>GOI7.26-36</t>
        </is>
      </c>
      <c r="G117" s="19" t="n">
        <v>-4000</v>
      </c>
      <c r="H117" s="23" t="n">
        <v>103.8612</v>
      </c>
      <c r="I117" s="24" t="n">
        <v>415444.8</v>
      </c>
      <c r="K117" t="inlineStr">
        <is>
          <t>SELL 4000 GOI7.26-36 @ 103.8612</t>
        </is>
      </c>
    </row>
    <row r="118">
      <c r="A118" t="n">
        <v>114</v>
      </c>
      <c r="B118" s="22" t="n">
        <v>46275</v>
      </c>
      <c r="C118" t="inlineStr">
        <is>
          <t>GAMMA_BAL</t>
        </is>
      </c>
      <c r="D118" t="inlineStr">
        <is>
          <t>TRADE</t>
        </is>
      </c>
      <c r="E118" t="inlineStr">
        <is>
          <t>GOI7.26-36</t>
        </is>
      </c>
      <c r="G118" s="19" t="n">
        <v>-600</v>
      </c>
      <c r="H118" s="23" t="n">
        <v>103.5828</v>
      </c>
      <c r="I118" s="24" t="n">
        <v>62149.68</v>
      </c>
      <c r="K118" t="inlineStr">
        <is>
          <t>SELL 600 GOI7.26-36 @ 103.5828</t>
        </is>
      </c>
    </row>
    <row r="119">
      <c r="A119" t="n">
        <v>115</v>
      </c>
      <c r="B119" s="22" t="n">
        <v>46276</v>
      </c>
      <c r="C119" t="inlineStr">
        <is>
          <t>ALPHA_EQ</t>
        </is>
      </c>
      <c r="D119" t="inlineStr">
        <is>
          <t>REDEMPTION</t>
        </is>
      </c>
      <c r="E119" t="inlineStr">
        <is>
          <t>Sneha Iyer</t>
        </is>
      </c>
      <c r="F119" s="23" t="n">
        <v>-11453.8061</v>
      </c>
      <c r="I119" s="24" t="n">
        <v>-111514.36</v>
      </c>
      <c r="J119" s="18" t="n">
        <v>9.736000000000001</v>
      </c>
      <c r="K119" t="inlineStr">
        <is>
          <t>Redemption by Sneha Iyer (ADSIS2345D)</t>
        </is>
      </c>
    </row>
    <row r="120">
      <c r="A120" t="n">
        <v>116</v>
      </c>
      <c r="B120" s="22" t="n">
        <v>46276</v>
      </c>
      <c r="C120" t="inlineStr">
        <is>
          <t>ALPHA_EQ</t>
        </is>
      </c>
      <c r="D120" t="inlineStr">
        <is>
          <t>SUBSCRIPTION</t>
        </is>
      </c>
      <c r="E120" t="inlineStr">
        <is>
          <t>Aarav Sharma</t>
        </is>
      </c>
      <c r="F120" s="23" t="n">
        <v>8132.5789</v>
      </c>
      <c r="I120" s="24" t="n">
        <v>79178.86</v>
      </c>
      <c r="J120" s="18" t="n">
        <v>9.736000000000001</v>
      </c>
      <c r="K120" t="inlineStr">
        <is>
          <t>Subscription by Aarav Sharma (AAAPS1234A)</t>
        </is>
      </c>
    </row>
    <row r="121">
      <c r="A121" t="n">
        <v>117</v>
      </c>
      <c r="B121" s="22" t="n">
        <v>46276</v>
      </c>
      <c r="C121" t="inlineStr">
        <is>
          <t>ALPHA_EQ</t>
        </is>
      </c>
      <c r="D121" t="inlineStr">
        <is>
          <t>TRADE</t>
        </is>
      </c>
      <c r="E121" t="inlineStr">
        <is>
          <t>HDFCBANK</t>
        </is>
      </c>
      <c r="G121" s="19" t="n">
        <v>-2000</v>
      </c>
      <c r="H121" s="23" t="n">
        <v>1662.0691</v>
      </c>
      <c r="I121" s="24" t="n">
        <v>3324138.2</v>
      </c>
      <c r="K121" t="inlineStr">
        <is>
          <t>SELL 2000 HDFCBANK @ 1662.0691</t>
        </is>
      </c>
    </row>
    <row r="122">
      <c r="A122" t="n">
        <v>118</v>
      </c>
      <c r="B122" s="22" t="n">
        <v>46276</v>
      </c>
      <c r="C122" t="inlineStr">
        <is>
          <t>BETA_DEBT</t>
        </is>
      </c>
      <c r="D122" t="inlineStr">
        <is>
          <t>REDEMPTION</t>
        </is>
      </c>
      <c r="E122" t="inlineStr">
        <is>
          <t>Arjun Patel</t>
        </is>
      </c>
      <c r="F122" s="23" t="n">
        <v>-25500.4103</v>
      </c>
      <c r="I122" s="24" t="n">
        <v>-259541.83</v>
      </c>
      <c r="J122" s="18" t="n">
        <v>10.1779</v>
      </c>
      <c r="K122" t="inlineStr">
        <is>
          <t>Redemption by Arjun Patel (APAPL6789I)</t>
        </is>
      </c>
    </row>
    <row r="123">
      <c r="A123" t="n">
        <v>119</v>
      </c>
      <c r="B123" s="22" t="n">
        <v>46276</v>
      </c>
      <c r="C123" t="inlineStr">
        <is>
          <t>BETA_DEBT</t>
        </is>
      </c>
      <c r="D123" t="inlineStr">
        <is>
          <t>SUBSCRIPTION</t>
        </is>
      </c>
      <c r="E123" t="inlineStr">
        <is>
          <t>Priya Nair</t>
        </is>
      </c>
      <c r="F123" s="23" t="n">
        <v>13672.4675</v>
      </c>
      <c r="I123" s="24" t="n">
        <v>139157.65</v>
      </c>
      <c r="J123" s="18" t="n">
        <v>10.1779</v>
      </c>
      <c r="K123" t="inlineStr">
        <is>
          <t>Subscription by Priya Nair (ABCPN5678B)</t>
        </is>
      </c>
    </row>
    <row r="124">
      <c r="A124" t="n">
        <v>120</v>
      </c>
      <c r="B124" s="22" t="n">
        <v>46276</v>
      </c>
      <c r="C124" t="inlineStr">
        <is>
          <t>BETA_DEBT</t>
        </is>
      </c>
      <c r="D124" t="inlineStr">
        <is>
          <t>TRADE</t>
        </is>
      </c>
      <c r="E124" t="inlineStr">
        <is>
          <t>CP-TATA</t>
        </is>
      </c>
      <c r="G124" s="19" t="n">
        <v>-1000</v>
      </c>
      <c r="H124" s="23" t="n">
        <v>99.93640000000001</v>
      </c>
      <c r="I124" s="24" t="n">
        <v>99936.39999999999</v>
      </c>
      <c r="K124" t="inlineStr">
        <is>
          <t>SELL 1000 CP-TATA @ 99.9364</t>
        </is>
      </c>
    </row>
    <row r="125">
      <c r="A125" t="n">
        <v>121</v>
      </c>
      <c r="B125" s="22" t="n">
        <v>46276</v>
      </c>
      <c r="C125" t="inlineStr">
        <is>
          <t>GAMMA_BAL</t>
        </is>
      </c>
      <c r="D125" t="inlineStr">
        <is>
          <t>REDEMPTION</t>
        </is>
      </c>
      <c r="E125" t="inlineStr">
        <is>
          <t>Ananya Gupta</t>
        </is>
      </c>
      <c r="F125" s="23" t="n">
        <v>-40371.1867</v>
      </c>
      <c r="I125" s="24" t="n">
        <v>-401264.68</v>
      </c>
      <c r="J125" s="18" t="n">
        <v>9.939399999999999</v>
      </c>
      <c r="K125" t="inlineStr">
        <is>
          <t>Redemption by Ananya Gupta (AANJG3456F)</t>
        </is>
      </c>
    </row>
    <row r="126">
      <c r="A126" t="n">
        <v>122</v>
      </c>
      <c r="B126" s="22" t="n">
        <v>46276</v>
      </c>
      <c r="C126" t="inlineStr">
        <is>
          <t>GAMMA_BAL</t>
        </is>
      </c>
      <c r="D126" t="inlineStr">
        <is>
          <t>SUBSCRIPTION</t>
        </is>
      </c>
      <c r="E126" t="inlineStr">
        <is>
          <t>Priya Nair</t>
        </is>
      </c>
      <c r="F126" s="23" t="n">
        <v>49700.4712</v>
      </c>
      <c r="I126" s="24" t="n">
        <v>493992.01</v>
      </c>
      <c r="J126" s="18" t="n">
        <v>9.939399999999999</v>
      </c>
      <c r="K126" t="inlineStr">
        <is>
          <t>Subscription by Priya Nair (ABCPN5678B)</t>
        </is>
      </c>
    </row>
    <row r="127">
      <c r="A127" t="n">
        <v>123</v>
      </c>
      <c r="B127" s="22" t="n">
        <v>46276</v>
      </c>
      <c r="C127" t="inlineStr">
        <is>
          <t>GAMMA_BAL</t>
        </is>
      </c>
      <c r="D127" t="inlineStr">
        <is>
          <t>TRADE</t>
        </is>
      </c>
      <c r="E127" t="inlineStr">
        <is>
          <t>INFY</t>
        </is>
      </c>
      <c r="G127" s="19" t="n">
        <v>-2000</v>
      </c>
      <c r="H127" s="23" t="n">
        <v>1624.5208</v>
      </c>
      <c r="I127" s="24" t="n">
        <v>3249041.6</v>
      </c>
      <c r="K127" t="inlineStr">
        <is>
          <t>SELL 2000 INFY @ 1624.5208</t>
        </is>
      </c>
    </row>
    <row r="128">
      <c r="A128" t="n">
        <v>124</v>
      </c>
      <c r="B128" s="22" t="n">
        <v>46276</v>
      </c>
      <c r="C128" t="inlineStr">
        <is>
          <t>GAMMA_BAL</t>
        </is>
      </c>
      <c r="D128" t="inlineStr">
        <is>
          <t>TRADE</t>
        </is>
      </c>
      <c r="E128" t="inlineStr">
        <is>
          <t>GOI7.26-36</t>
        </is>
      </c>
      <c r="G128" s="19" t="n">
        <v>5000</v>
      </c>
      <c r="H128" s="23" t="n">
        <v>103.0585</v>
      </c>
      <c r="I128" s="24" t="n">
        <v>-515292.5</v>
      </c>
      <c r="K128" t="inlineStr">
        <is>
          <t>BUY 5000 GOI7.26-36 @ 103.0585</t>
        </is>
      </c>
    </row>
    <row r="129">
      <c r="A129" t="n">
        <v>125</v>
      </c>
      <c r="B129" s="22" t="n">
        <v>46279</v>
      </c>
      <c r="C129" t="inlineStr">
        <is>
          <t>ALPHA_EQ</t>
        </is>
      </c>
      <c r="D129" t="inlineStr">
        <is>
          <t>SUBSCRIPTION</t>
        </is>
      </c>
      <c r="E129" t="inlineStr">
        <is>
          <t>Arjun Patel</t>
        </is>
      </c>
      <c r="F129" s="23" t="n">
        <v>561.3929000000001</v>
      </c>
      <c r="I129" s="24" t="n">
        <v>5460.05</v>
      </c>
      <c r="J129" s="18" t="n">
        <v>9.725899999999999</v>
      </c>
      <c r="K129" t="inlineStr">
        <is>
          <t>Subscription by Arjun Patel (APAPL6789I)</t>
        </is>
      </c>
    </row>
    <row r="130">
      <c r="A130" t="n">
        <v>126</v>
      </c>
      <c r="B130" s="22" t="n">
        <v>46279</v>
      </c>
      <c r="C130" t="inlineStr">
        <is>
          <t>ALPHA_EQ</t>
        </is>
      </c>
      <c r="D130" t="inlineStr">
        <is>
          <t>TRADE</t>
        </is>
      </c>
      <c r="E130" t="inlineStr">
        <is>
          <t>INFY</t>
        </is>
      </c>
      <c r="G130" s="19" t="n">
        <v>600</v>
      </c>
      <c r="H130" s="23" t="n">
        <v>1661.2448</v>
      </c>
      <c r="I130" s="24" t="n">
        <v>-996746.88</v>
      </c>
      <c r="K130" t="inlineStr">
        <is>
          <t>BUY 600 INFY @ 1661.2448</t>
        </is>
      </c>
    </row>
    <row r="131">
      <c r="A131" t="n">
        <v>127</v>
      </c>
      <c r="B131" s="22" t="n">
        <v>46279</v>
      </c>
      <c r="C131" t="inlineStr">
        <is>
          <t>BETA_DEBT</t>
        </is>
      </c>
      <c r="D131" t="inlineStr">
        <is>
          <t>REDEMPTION</t>
        </is>
      </c>
      <c r="E131" t="inlineStr">
        <is>
          <t>Ananya Gupta</t>
        </is>
      </c>
      <c r="F131" s="23" t="n">
        <v>-10551.4233</v>
      </c>
      <c r="I131" s="24" t="n">
        <v>-107939.17</v>
      </c>
      <c r="J131" s="18" t="n">
        <v>10.2298</v>
      </c>
      <c r="K131" t="inlineStr">
        <is>
          <t>Redemption by Ananya Gupta (AANJG3456F)</t>
        </is>
      </c>
    </row>
    <row r="132">
      <c r="A132" t="n">
        <v>128</v>
      </c>
      <c r="B132" s="22" t="n">
        <v>46279</v>
      </c>
      <c r="C132" t="inlineStr">
        <is>
          <t>BETA_DEBT</t>
        </is>
      </c>
      <c r="D132" t="inlineStr">
        <is>
          <t>SUBSCRIPTION</t>
        </is>
      </c>
      <c r="E132" t="inlineStr">
        <is>
          <t>Aarav Sharma</t>
        </is>
      </c>
      <c r="F132" s="23" t="n">
        <v>43382.947</v>
      </c>
      <c r="I132" s="24" t="n">
        <v>443799.79</v>
      </c>
      <c r="J132" s="18" t="n">
        <v>10.2298</v>
      </c>
      <c r="K132" t="inlineStr">
        <is>
          <t>Subscription by Aarav Sharma (AAAPS1234A)</t>
        </is>
      </c>
    </row>
    <row r="133">
      <c r="A133" t="n">
        <v>129</v>
      </c>
      <c r="B133" s="22" t="n">
        <v>46279</v>
      </c>
      <c r="C133" t="inlineStr">
        <is>
          <t>BETA_DEBT</t>
        </is>
      </c>
      <c r="D133" t="inlineStr">
        <is>
          <t>TRADE</t>
        </is>
      </c>
      <c r="E133" t="inlineStr">
        <is>
          <t>GOI7.26-36</t>
        </is>
      </c>
      <c r="G133" s="19" t="n">
        <v>1000</v>
      </c>
      <c r="H133" s="23" t="n">
        <v>103.1509</v>
      </c>
      <c r="I133" s="24" t="n">
        <v>-103150.9</v>
      </c>
      <c r="K133" t="inlineStr">
        <is>
          <t>BUY 1000 GOI7.26-36 @ 103.1509</t>
        </is>
      </c>
    </row>
    <row r="134">
      <c r="A134" t="n">
        <v>130</v>
      </c>
      <c r="B134" s="22" t="n">
        <v>46279</v>
      </c>
      <c r="C134" t="inlineStr">
        <is>
          <t>BETA_DEBT</t>
        </is>
      </c>
      <c r="D134" t="inlineStr">
        <is>
          <t>TRADE</t>
        </is>
      </c>
      <c r="E134" t="inlineStr">
        <is>
          <t>NCD-REL</t>
        </is>
      </c>
      <c r="G134" s="19" t="n">
        <v>-3500</v>
      </c>
      <c r="H134" s="23" t="n">
        <v>988.1857</v>
      </c>
      <c r="I134" s="24" t="n">
        <v>3458649.95</v>
      </c>
      <c r="K134" t="inlineStr">
        <is>
          <t>SELL 3500 NCD-REL @ 988.1857</t>
        </is>
      </c>
    </row>
    <row r="135">
      <c r="A135" t="n">
        <v>131</v>
      </c>
      <c r="B135" s="22" t="n">
        <v>46279</v>
      </c>
      <c r="C135" t="inlineStr">
        <is>
          <t>GAMMA_BAL</t>
        </is>
      </c>
      <c r="D135" t="inlineStr">
        <is>
          <t>REDEMPTION</t>
        </is>
      </c>
      <c r="E135" t="inlineStr">
        <is>
          <t>Karan Singh</t>
        </is>
      </c>
      <c r="F135" s="23" t="n">
        <v>-21683.1488</v>
      </c>
      <c r="I135" s="24" t="n">
        <v>-214780.6</v>
      </c>
      <c r="J135" s="18" t="n">
        <v>9.9054</v>
      </c>
      <c r="K135" t="inlineStr">
        <is>
          <t>Redemption by Karan Singh (AKLSG4567G)</t>
        </is>
      </c>
    </row>
    <row r="136">
      <c r="A136" t="n">
        <v>132</v>
      </c>
      <c r="B136" s="22" t="n">
        <v>46279</v>
      </c>
      <c r="C136" t="inlineStr">
        <is>
          <t>GAMMA_BAL</t>
        </is>
      </c>
      <c r="D136" t="inlineStr">
        <is>
          <t>TRADE</t>
        </is>
      </c>
      <c r="E136" t="inlineStr">
        <is>
          <t>SDL-MH-32</t>
        </is>
      </c>
      <c r="G136" s="19" t="n">
        <v>3000</v>
      </c>
      <c r="H136" s="23" t="n">
        <v>101.7919</v>
      </c>
      <c r="I136" s="24" t="n">
        <v>-305375.7</v>
      </c>
      <c r="K136" t="inlineStr">
        <is>
          <t>BUY 3000 SDL-MH-32 @ 101.7919</t>
        </is>
      </c>
    </row>
    <row r="137">
      <c r="A137" t="n">
        <v>133</v>
      </c>
      <c r="B137" s="22" t="n">
        <v>46279</v>
      </c>
      <c r="C137" t="inlineStr">
        <is>
          <t>GAMMA_BAL</t>
        </is>
      </c>
      <c r="D137" t="inlineStr">
        <is>
          <t>TRADE</t>
        </is>
      </c>
      <c r="E137" t="inlineStr">
        <is>
          <t>GOI7.26-36</t>
        </is>
      </c>
      <c r="G137" s="19" t="n">
        <v>7000</v>
      </c>
      <c r="H137" s="23" t="n">
        <v>103.0997</v>
      </c>
      <c r="I137" s="24" t="n">
        <v>-721697.9</v>
      </c>
      <c r="K137" t="inlineStr">
        <is>
          <t>BUY 7000 GOI7.26-36 @ 103.0997</t>
        </is>
      </c>
    </row>
    <row r="138">
      <c r="A138" t="n">
        <v>134</v>
      </c>
      <c r="B138" s="22" t="n">
        <v>46279</v>
      </c>
      <c r="C138" t="inlineStr">
        <is>
          <t>GAMMA_BAL</t>
        </is>
      </c>
      <c r="D138" t="inlineStr">
        <is>
          <t>TRADE</t>
        </is>
      </c>
      <c r="E138" t="inlineStr">
        <is>
          <t>SDL-MH-32</t>
        </is>
      </c>
      <c r="G138" s="19" t="n">
        <v>-200</v>
      </c>
      <c r="H138" s="23" t="n">
        <v>101.706</v>
      </c>
      <c r="I138" s="24" t="n">
        <v>20341.2</v>
      </c>
      <c r="K138" t="inlineStr">
        <is>
          <t>SELL 200 SDL-MH-32 @ 101.706</t>
        </is>
      </c>
    </row>
    <row r="139">
      <c r="A139" t="n">
        <v>135</v>
      </c>
      <c r="B139" s="22" t="n">
        <v>46280</v>
      </c>
      <c r="C139" t="inlineStr">
        <is>
          <t>ALPHA_EQ</t>
        </is>
      </c>
      <c r="D139" t="inlineStr">
        <is>
          <t>DIVIDEND</t>
        </is>
      </c>
      <c r="E139" t="inlineStr">
        <is>
          <t>UNIT HOLDERS</t>
        </is>
      </c>
      <c r="I139" s="24" t="n">
        <v>-1000000</v>
      </c>
      <c r="K139" t="inlineStr">
        <is>
          <t>Dividend payout @ Rs 0.10 per unit</t>
        </is>
      </c>
    </row>
    <row r="140">
      <c r="A140" t="n">
        <v>136</v>
      </c>
      <c r="B140" s="22" t="n">
        <v>46280</v>
      </c>
      <c r="C140" t="inlineStr">
        <is>
          <t>ALPHA_EQ</t>
        </is>
      </c>
      <c r="D140" t="inlineStr">
        <is>
          <t>SUBSCRIPTION</t>
        </is>
      </c>
      <c r="E140" t="inlineStr">
        <is>
          <t>Arjun Patel</t>
        </is>
      </c>
      <c r="F140" s="23" t="n">
        <v>4494.013</v>
      </c>
      <c r="I140" s="24" t="n">
        <v>44125.97</v>
      </c>
      <c r="J140" s="18" t="n">
        <v>9.8188</v>
      </c>
      <c r="K140" t="inlineStr">
        <is>
          <t>Subscription by Arjun Patel (APAPL6789I)</t>
        </is>
      </c>
    </row>
    <row r="141">
      <c r="A141" t="n">
        <v>137</v>
      </c>
      <c r="B141" s="22" t="n">
        <v>46280</v>
      </c>
      <c r="C141" t="inlineStr">
        <is>
          <t>ALPHA_EQ</t>
        </is>
      </c>
      <c r="D141" t="inlineStr">
        <is>
          <t>TRADE</t>
        </is>
      </c>
      <c r="E141" t="inlineStr">
        <is>
          <t>TCS</t>
        </is>
      </c>
      <c r="G141" s="19" t="n">
        <v>6000</v>
      </c>
      <c r="H141" s="23" t="n">
        <v>3750.734</v>
      </c>
      <c r="I141" s="24" t="n">
        <v>-22504404</v>
      </c>
      <c r="K141" t="inlineStr">
        <is>
          <t>BUY 6000 TCS @ 3750.734</t>
        </is>
      </c>
    </row>
    <row r="142">
      <c r="A142" t="n">
        <v>138</v>
      </c>
      <c r="B142" s="22" t="n">
        <v>46280</v>
      </c>
      <c r="C142" t="inlineStr">
        <is>
          <t>ALPHA_EQ</t>
        </is>
      </c>
      <c r="D142" t="inlineStr">
        <is>
          <t>TRADE</t>
        </is>
      </c>
      <c r="E142" t="inlineStr">
        <is>
          <t>RELIANCE</t>
        </is>
      </c>
      <c r="G142" s="19" t="n">
        <v>1500</v>
      </c>
      <c r="H142" s="23" t="n">
        <v>1473.3234</v>
      </c>
      <c r="I142" s="24" t="n">
        <v>-2209985.1</v>
      </c>
      <c r="K142" t="inlineStr">
        <is>
          <t>BUY 1500 RELIANCE @ 1473.3234</t>
        </is>
      </c>
    </row>
    <row r="143">
      <c r="A143" t="n">
        <v>139</v>
      </c>
      <c r="B143" s="22" t="n">
        <v>46280</v>
      </c>
      <c r="C143" t="inlineStr">
        <is>
          <t>BETA_DEBT</t>
        </is>
      </c>
      <c r="D143" t="inlineStr">
        <is>
          <t>DIVIDEND</t>
        </is>
      </c>
      <c r="E143" t="inlineStr">
        <is>
          <t>UNIT HOLDERS</t>
        </is>
      </c>
      <c r="I143" s="24" t="n">
        <v>-2000000</v>
      </c>
      <c r="K143" t="inlineStr">
        <is>
          <t>Dividend payout @ Rs 0.10 per unit</t>
        </is>
      </c>
    </row>
    <row r="144">
      <c r="A144" t="n">
        <v>140</v>
      </c>
      <c r="B144" s="22" t="n">
        <v>46280</v>
      </c>
      <c r="C144" t="inlineStr">
        <is>
          <t>BETA_DEBT</t>
        </is>
      </c>
      <c r="D144" t="inlineStr">
        <is>
          <t>TRADE</t>
        </is>
      </c>
      <c r="E144" t="inlineStr">
        <is>
          <t>SDL-MH-32</t>
        </is>
      </c>
      <c r="G144" s="19" t="n">
        <v>1400</v>
      </c>
      <c r="H144" s="23" t="n">
        <v>102.1732</v>
      </c>
      <c r="I144" s="24" t="n">
        <v>-143042.48</v>
      </c>
      <c r="K144" t="inlineStr">
        <is>
          <t>BUY 1400 SDL-MH-32 @ 102.1732</t>
        </is>
      </c>
    </row>
    <row r="145">
      <c r="A145" t="n">
        <v>141</v>
      </c>
      <c r="B145" s="22" t="n">
        <v>46280</v>
      </c>
      <c r="C145" t="inlineStr">
        <is>
          <t>GAMMA_BAL</t>
        </is>
      </c>
      <c r="D145" t="inlineStr">
        <is>
          <t>DIVIDEND</t>
        </is>
      </c>
      <c r="E145" t="inlineStr">
        <is>
          <t>UNIT HOLDERS</t>
        </is>
      </c>
      <c r="I145" s="24" t="n">
        <v>-1500000</v>
      </c>
      <c r="K145" t="inlineStr">
        <is>
          <t>Dividend payout @ Rs 0.10 per unit</t>
        </is>
      </c>
    </row>
    <row r="146">
      <c r="A146" t="n">
        <v>142</v>
      </c>
      <c r="B146" s="22" t="n">
        <v>46280</v>
      </c>
      <c r="C146" t="inlineStr">
        <is>
          <t>GAMMA_BAL</t>
        </is>
      </c>
      <c r="D146" t="inlineStr">
        <is>
          <t>TRADE</t>
        </is>
      </c>
      <c r="E146" t="inlineStr">
        <is>
          <t>GOI7.26-36</t>
        </is>
      </c>
      <c r="G146" s="19" t="n">
        <v>200</v>
      </c>
      <c r="H146" s="23" t="n">
        <v>102.9587</v>
      </c>
      <c r="I146" s="24" t="n">
        <v>-20591.74</v>
      </c>
      <c r="K146" t="inlineStr">
        <is>
          <t>BUY 200 GOI7.26-36 @ 102.9587</t>
        </is>
      </c>
    </row>
    <row r="147">
      <c r="A147" t="n">
        <v>143</v>
      </c>
      <c r="B147" s="22" t="n">
        <v>46281</v>
      </c>
      <c r="C147" t="inlineStr">
        <is>
          <t>ALPHA_EQ</t>
        </is>
      </c>
      <c r="D147" t="inlineStr">
        <is>
          <t>TRADE</t>
        </is>
      </c>
      <c r="E147" t="inlineStr">
        <is>
          <t>RELIANCE</t>
        </is>
      </c>
      <c r="G147" s="19" t="n">
        <v>-2500</v>
      </c>
      <c r="H147" s="23" t="n">
        <v>1462.7558</v>
      </c>
      <c r="I147" s="24" t="n">
        <v>3656889.5</v>
      </c>
      <c r="K147" t="inlineStr">
        <is>
          <t>SELL 2500 RELIANCE @ 1462.7558</t>
        </is>
      </c>
    </row>
    <row r="148">
      <c r="A148" t="n">
        <v>144</v>
      </c>
      <c r="B148" s="22" t="n">
        <v>46281</v>
      </c>
      <c r="C148" t="inlineStr">
        <is>
          <t>BETA_DEBT</t>
        </is>
      </c>
      <c r="D148" t="inlineStr">
        <is>
          <t>SUBSCRIPTION</t>
        </is>
      </c>
      <c r="E148" t="inlineStr">
        <is>
          <t>Arjun Patel</t>
        </is>
      </c>
      <c r="F148" s="23" t="n">
        <v>41070.1977</v>
      </c>
      <c r="I148" s="24" t="n">
        <v>414691.49</v>
      </c>
      <c r="J148" s="18" t="n">
        <v>10.0971</v>
      </c>
      <c r="K148" t="inlineStr">
        <is>
          <t>Subscription by Arjun Patel (APAPL6789I)</t>
        </is>
      </c>
    </row>
    <row r="149">
      <c r="A149" t="n">
        <v>145</v>
      </c>
      <c r="B149" s="22" t="n">
        <v>46281</v>
      </c>
      <c r="C149" t="inlineStr">
        <is>
          <t>BETA_DEBT</t>
        </is>
      </c>
      <c r="D149" t="inlineStr">
        <is>
          <t>TRADE</t>
        </is>
      </c>
      <c r="E149" t="inlineStr">
        <is>
          <t>SDL-MH-32</t>
        </is>
      </c>
      <c r="G149" s="19" t="n">
        <v>-6000</v>
      </c>
      <c r="H149" s="23" t="n">
        <v>102.5976</v>
      </c>
      <c r="I149" s="24" t="n">
        <v>615585.6</v>
      </c>
      <c r="K149" t="inlineStr">
        <is>
          <t>SELL 6000 SDL-MH-32 @ 102.5976</t>
        </is>
      </c>
    </row>
    <row r="150">
      <c r="A150" t="n">
        <v>146</v>
      </c>
      <c r="B150" s="22" t="n">
        <v>46281</v>
      </c>
      <c r="C150" t="inlineStr">
        <is>
          <t>BETA_DEBT</t>
        </is>
      </c>
      <c r="D150" t="inlineStr">
        <is>
          <t>TRADE</t>
        </is>
      </c>
      <c r="E150" t="inlineStr">
        <is>
          <t>CP-TATA</t>
        </is>
      </c>
      <c r="G150" s="19" t="n">
        <v>300</v>
      </c>
      <c r="H150" s="23" t="n">
        <v>99.873</v>
      </c>
      <c r="I150" s="24" t="n">
        <v>-29961.9</v>
      </c>
      <c r="K150" t="inlineStr">
        <is>
          <t>BUY 300 CP-TATA @ 99.873</t>
        </is>
      </c>
    </row>
    <row r="151">
      <c r="A151" t="n">
        <v>147</v>
      </c>
      <c r="B151" s="22" t="n">
        <v>46281</v>
      </c>
      <c r="C151" t="inlineStr">
        <is>
          <t>GAMMA_BAL</t>
        </is>
      </c>
      <c r="D151" t="inlineStr">
        <is>
          <t>REDEMPTION</t>
        </is>
      </c>
      <c r="E151" t="inlineStr">
        <is>
          <t>Rahul Mehta</t>
        </is>
      </c>
      <c r="F151" s="23" t="n">
        <v>-13931.8435</v>
      </c>
      <c r="I151" s="24" t="n">
        <v>-137648.6</v>
      </c>
      <c r="J151" s="18" t="n">
        <v>9.880100000000001</v>
      </c>
      <c r="K151" t="inlineStr">
        <is>
          <t>Redemption by Rahul Mehta (ACARM6789C)</t>
        </is>
      </c>
    </row>
    <row r="152">
      <c r="A152" t="n">
        <v>148</v>
      </c>
      <c r="B152" s="22" t="n">
        <v>46281</v>
      </c>
      <c r="C152" t="inlineStr">
        <is>
          <t>GAMMA_BAL</t>
        </is>
      </c>
      <c r="D152" t="inlineStr">
        <is>
          <t>SUBSCRIPTION</t>
        </is>
      </c>
      <c r="E152" t="inlineStr">
        <is>
          <t>Sneha Iyer</t>
        </is>
      </c>
      <c r="F152" s="23" t="n">
        <v>35318.6118</v>
      </c>
      <c r="I152" s="24" t="n">
        <v>348952.91</v>
      </c>
      <c r="J152" s="18" t="n">
        <v>9.880100000000001</v>
      </c>
      <c r="K152" t="inlineStr">
        <is>
          <t>Subscription by Sneha Iyer (ADSIS2345D)</t>
        </is>
      </c>
    </row>
    <row r="153">
      <c r="A153" t="n">
        <v>149</v>
      </c>
      <c r="B153" s="22" t="n">
        <v>46281</v>
      </c>
      <c r="C153" t="inlineStr">
        <is>
          <t>GAMMA_BAL</t>
        </is>
      </c>
      <c r="D153" t="inlineStr">
        <is>
          <t>TRADE</t>
        </is>
      </c>
      <c r="E153" t="inlineStr">
        <is>
          <t>SDL-MH-32</t>
        </is>
      </c>
      <c r="G153" s="19" t="n">
        <v>-4000</v>
      </c>
      <c r="H153" s="23" t="n">
        <v>102.4505</v>
      </c>
      <c r="I153" s="24" t="n">
        <v>409802</v>
      </c>
      <c r="K153" t="inlineStr">
        <is>
          <t>SELL 4000 SDL-MH-32 @ 102.4505</t>
        </is>
      </c>
    </row>
    <row r="154">
      <c r="A154" t="n">
        <v>150</v>
      </c>
      <c r="B154" s="22" t="n">
        <v>46282</v>
      </c>
      <c r="C154" t="inlineStr">
        <is>
          <t>ALPHA_EQ</t>
        </is>
      </c>
      <c r="D154" t="inlineStr">
        <is>
          <t>SUBSCRIPTION</t>
        </is>
      </c>
      <c r="E154" t="inlineStr">
        <is>
          <t>Aarav Sharma</t>
        </is>
      </c>
      <c r="F154" s="23" t="n">
        <v>16313.2814</v>
      </c>
      <c r="I154" s="24" t="n">
        <v>160111.91</v>
      </c>
      <c r="J154" s="18" t="n">
        <v>9.8148</v>
      </c>
      <c r="K154" t="inlineStr">
        <is>
          <t>Subscription by Aarav Sharma (AAAPS1234A)</t>
        </is>
      </c>
    </row>
    <row r="155">
      <c r="A155" t="n">
        <v>151</v>
      </c>
      <c r="B155" s="22" t="n">
        <v>46282</v>
      </c>
      <c r="C155" t="inlineStr">
        <is>
          <t>ALPHA_EQ</t>
        </is>
      </c>
      <c r="D155" t="inlineStr">
        <is>
          <t>TRADE</t>
        </is>
      </c>
      <c r="E155" t="inlineStr">
        <is>
          <t>ITC</t>
        </is>
      </c>
      <c r="G155" s="19" t="n">
        <v>2000</v>
      </c>
      <c r="H155" s="23" t="n">
        <v>491.2671</v>
      </c>
      <c r="I155" s="24" t="n">
        <v>-982534.2</v>
      </c>
      <c r="K155" t="inlineStr">
        <is>
          <t>BUY 2000 ITC @ 491.2671</t>
        </is>
      </c>
    </row>
    <row r="156">
      <c r="A156" t="n">
        <v>152</v>
      </c>
      <c r="B156" s="22" t="n">
        <v>46282</v>
      </c>
      <c r="C156" t="inlineStr">
        <is>
          <t>ALPHA_EQ</t>
        </is>
      </c>
      <c r="D156" t="inlineStr">
        <is>
          <t>TRADE</t>
        </is>
      </c>
      <c r="E156" t="inlineStr">
        <is>
          <t>ICICIBANK</t>
        </is>
      </c>
      <c r="G156" s="19" t="n">
        <v>100</v>
      </c>
      <c r="H156" s="23" t="n">
        <v>1251.473</v>
      </c>
      <c r="I156" s="24" t="n">
        <v>-125147.3</v>
      </c>
      <c r="K156" t="inlineStr">
        <is>
          <t>BUY 100 ICICIBANK @ 1251.473</t>
        </is>
      </c>
    </row>
    <row r="157">
      <c r="A157" t="n">
        <v>153</v>
      </c>
      <c r="B157" s="22" t="n">
        <v>46282</v>
      </c>
      <c r="C157" t="inlineStr">
        <is>
          <t>ALPHA_EQ</t>
        </is>
      </c>
      <c r="D157" t="inlineStr">
        <is>
          <t>TRADE</t>
        </is>
      </c>
      <c r="E157" t="inlineStr">
        <is>
          <t>INFY</t>
        </is>
      </c>
      <c r="G157" s="19" t="n">
        <v>-100</v>
      </c>
      <c r="H157" s="23" t="n">
        <v>1728.6216</v>
      </c>
      <c r="I157" s="24" t="n">
        <v>172862.16</v>
      </c>
      <c r="K157" t="inlineStr">
        <is>
          <t>SELL 100 INFY @ 1728.6216</t>
        </is>
      </c>
    </row>
    <row r="158">
      <c r="A158" t="n">
        <v>154</v>
      </c>
      <c r="B158" s="22" t="n">
        <v>46282</v>
      </c>
      <c r="C158" t="inlineStr">
        <is>
          <t>BETA_DEBT</t>
        </is>
      </c>
      <c r="D158" t="inlineStr">
        <is>
          <t>REDEMPTION</t>
        </is>
      </c>
      <c r="E158" t="inlineStr">
        <is>
          <t>Karan Singh</t>
        </is>
      </c>
      <c r="F158" s="23" t="n">
        <v>-22524.5694</v>
      </c>
      <c r="I158" s="24" t="n">
        <v>-226936.8</v>
      </c>
      <c r="J158" s="18" t="n">
        <v>10.0751</v>
      </c>
      <c r="K158" t="inlineStr">
        <is>
          <t>Redemption by Karan Singh (AKLSG4567G)</t>
        </is>
      </c>
    </row>
    <row r="159">
      <c r="A159" t="n">
        <v>155</v>
      </c>
      <c r="B159" s="22" t="n">
        <v>46282</v>
      </c>
      <c r="C159" t="inlineStr">
        <is>
          <t>BETA_DEBT</t>
        </is>
      </c>
      <c r="D159" t="inlineStr">
        <is>
          <t>TRADE</t>
        </is>
      </c>
      <c r="E159" t="inlineStr">
        <is>
          <t>GOI8.2-33</t>
        </is>
      </c>
      <c r="G159" s="19" t="n">
        <v>1400</v>
      </c>
      <c r="H159" s="23" t="n">
        <v>109.9332</v>
      </c>
      <c r="I159" s="24" t="n">
        <v>-153906.48</v>
      </c>
      <c r="K159" t="inlineStr">
        <is>
          <t>BUY 1400 GOI8.2-33 @ 109.9332</t>
        </is>
      </c>
    </row>
    <row r="160">
      <c r="A160" t="n">
        <v>156</v>
      </c>
      <c r="B160" s="22" t="n">
        <v>46282</v>
      </c>
      <c r="C160" t="inlineStr">
        <is>
          <t>GAMMA_BAL</t>
        </is>
      </c>
      <c r="D160" t="inlineStr">
        <is>
          <t>SUBSCRIPTION</t>
        </is>
      </c>
      <c r="E160" t="inlineStr">
        <is>
          <t>Vikram Reddy</t>
        </is>
      </c>
      <c r="F160" s="23" t="n">
        <v>48184.2198</v>
      </c>
      <c r="I160" s="24" t="n">
        <v>470809.98</v>
      </c>
      <c r="J160" s="18" t="n">
        <v>9.771000000000001</v>
      </c>
      <c r="K160" t="inlineStr">
        <is>
          <t>Subscription by Vikram Reddy (AVBRS7890E)</t>
        </is>
      </c>
    </row>
    <row r="161">
      <c r="A161" t="n">
        <v>157</v>
      </c>
      <c r="B161" s="22" t="n">
        <v>46282</v>
      </c>
      <c r="C161" t="inlineStr">
        <is>
          <t>GAMMA_BAL</t>
        </is>
      </c>
      <c r="D161" t="inlineStr">
        <is>
          <t>TRADE</t>
        </is>
      </c>
      <c r="E161" t="inlineStr">
        <is>
          <t>INFY</t>
        </is>
      </c>
      <c r="G161" s="19" t="n">
        <v>-2000</v>
      </c>
      <c r="H161" s="23" t="n">
        <v>1729.0187</v>
      </c>
      <c r="I161" s="24" t="n">
        <v>3458037.4</v>
      </c>
      <c r="K161" t="inlineStr">
        <is>
          <t>SELL 2000 INFY @ 1729.0187</t>
        </is>
      </c>
    </row>
    <row r="162">
      <c r="A162" t="n">
        <v>158</v>
      </c>
      <c r="B162" s="22" t="n">
        <v>46282</v>
      </c>
      <c r="C162" t="inlineStr">
        <is>
          <t>GAMMA_BAL</t>
        </is>
      </c>
      <c r="D162" t="inlineStr">
        <is>
          <t>TRADE</t>
        </is>
      </c>
      <c r="E162" t="inlineStr">
        <is>
          <t>SDL-MH-32</t>
        </is>
      </c>
      <c r="G162" s="19" t="n">
        <v>-600</v>
      </c>
      <c r="H162" s="23" t="n">
        <v>102.7877</v>
      </c>
      <c r="I162" s="24" t="n">
        <v>61672.62</v>
      </c>
      <c r="K162" t="inlineStr">
        <is>
          <t>SELL 600 SDL-MH-32 @ 102.7877</t>
        </is>
      </c>
    </row>
    <row r="163">
      <c r="A163" t="n">
        <v>159</v>
      </c>
      <c r="B163" s="22" t="n">
        <v>46282</v>
      </c>
      <c r="C163" t="inlineStr">
        <is>
          <t>GAMMA_BAL</t>
        </is>
      </c>
      <c r="D163" t="inlineStr">
        <is>
          <t>TRADE</t>
        </is>
      </c>
      <c r="E163" t="inlineStr">
        <is>
          <t>LT</t>
        </is>
      </c>
      <c r="G163" s="19" t="n">
        <v>300</v>
      </c>
      <c r="H163" s="23" t="n">
        <v>2467.6064</v>
      </c>
      <c r="I163" s="24" t="n">
        <v>-740281.92</v>
      </c>
      <c r="K163" t="inlineStr">
        <is>
          <t>BUY 300 LT @ 2467.6064</t>
        </is>
      </c>
    </row>
    <row r="164">
      <c r="A164" t="n">
        <v>160</v>
      </c>
      <c r="B164" s="22" t="n">
        <v>46283</v>
      </c>
      <c r="C164" t="inlineStr">
        <is>
          <t>ALPHA_EQ</t>
        </is>
      </c>
      <c r="D164" t="inlineStr">
        <is>
          <t>SUBSCRIPTION</t>
        </is>
      </c>
      <c r="E164" t="inlineStr">
        <is>
          <t>Rahul Mehta</t>
        </is>
      </c>
      <c r="F164" s="23" t="n">
        <v>49019.9958</v>
      </c>
      <c r="I164" s="24" t="n">
        <v>482136.44</v>
      </c>
      <c r="J164" s="18" t="n">
        <v>9.8355</v>
      </c>
      <c r="K164" t="inlineStr">
        <is>
          <t>Subscription by Rahul Mehta (ACARM6789C)</t>
        </is>
      </c>
    </row>
    <row r="165">
      <c r="A165" t="n">
        <v>161</v>
      </c>
      <c r="B165" s="22" t="n">
        <v>46283</v>
      </c>
      <c r="C165" t="inlineStr">
        <is>
          <t>ALPHA_EQ</t>
        </is>
      </c>
      <c r="D165" t="inlineStr">
        <is>
          <t>TRADE</t>
        </is>
      </c>
      <c r="E165" t="inlineStr">
        <is>
          <t>INFY</t>
        </is>
      </c>
      <c r="G165" s="19" t="n">
        <v>300</v>
      </c>
      <c r="H165" s="23" t="n">
        <v>1749.8716</v>
      </c>
      <c r="I165" s="24" t="n">
        <v>-524961.48</v>
      </c>
      <c r="K165" t="inlineStr">
        <is>
          <t>BUY 300 INFY @ 1749.8716</t>
        </is>
      </c>
    </row>
    <row r="166">
      <c r="A166" t="n">
        <v>162</v>
      </c>
      <c r="B166" s="22" t="n">
        <v>46283</v>
      </c>
      <c r="C166" t="inlineStr">
        <is>
          <t>ALPHA_EQ</t>
        </is>
      </c>
      <c r="D166" t="inlineStr">
        <is>
          <t>TRADE</t>
        </is>
      </c>
      <c r="E166" t="inlineStr">
        <is>
          <t>ITC</t>
        </is>
      </c>
      <c r="G166" s="19" t="n">
        <v>-8000</v>
      </c>
      <c r="H166" s="23" t="n">
        <v>481.4158</v>
      </c>
      <c r="I166" s="24" t="n">
        <v>3851326.4</v>
      </c>
      <c r="K166" t="inlineStr">
        <is>
          <t>SELL 8000 ITC @ 481.4158</t>
        </is>
      </c>
    </row>
    <row r="167">
      <c r="A167" t="n">
        <v>163</v>
      </c>
      <c r="B167" s="22" t="n">
        <v>46283</v>
      </c>
      <c r="C167" t="inlineStr">
        <is>
          <t>ALPHA_EQ</t>
        </is>
      </c>
      <c r="D167" t="inlineStr">
        <is>
          <t>TRADE</t>
        </is>
      </c>
      <c r="E167" t="inlineStr">
        <is>
          <t>INFY</t>
        </is>
      </c>
      <c r="G167" s="19" t="n">
        <v>-3000</v>
      </c>
      <c r="H167" s="23" t="n">
        <v>1751.8865</v>
      </c>
      <c r="I167" s="24" t="n">
        <v>5255659.5</v>
      </c>
      <c r="K167" t="inlineStr">
        <is>
          <t>SELL 3000 INFY @ 1751.8865</t>
        </is>
      </c>
    </row>
    <row r="168">
      <c r="A168" t="n">
        <v>164</v>
      </c>
      <c r="B168" s="22" t="n">
        <v>46283</v>
      </c>
      <c r="C168" t="inlineStr">
        <is>
          <t>BETA_DEBT</t>
        </is>
      </c>
      <c r="D168" t="inlineStr">
        <is>
          <t>REDEMPTION</t>
        </is>
      </c>
      <c r="E168" t="inlineStr">
        <is>
          <t>Meera Joshi</t>
        </is>
      </c>
      <c r="F168" s="23" t="n">
        <v>-17039.0907</v>
      </c>
      <c r="I168" s="24" t="n">
        <v>-172352.42</v>
      </c>
      <c r="J168" s="18" t="n">
        <v>10.1151</v>
      </c>
      <c r="K168" t="inlineStr">
        <is>
          <t>Redemption by Meera Joshi (MMJMJ7890K)</t>
        </is>
      </c>
    </row>
    <row r="169">
      <c r="A169" t="n">
        <v>165</v>
      </c>
      <c r="B169" s="22" t="n">
        <v>46283</v>
      </c>
      <c r="C169" t="inlineStr">
        <is>
          <t>BETA_DEBT</t>
        </is>
      </c>
      <c r="D169" t="inlineStr">
        <is>
          <t>TRADE</t>
        </is>
      </c>
      <c r="E169" t="inlineStr">
        <is>
          <t>NCD-REL</t>
        </is>
      </c>
      <c r="G169" s="19" t="n">
        <v>400</v>
      </c>
      <c r="H169" s="23" t="n">
        <v>982.4374</v>
      </c>
      <c r="I169" s="24" t="n">
        <v>-392974.96</v>
      </c>
      <c r="K169" t="inlineStr">
        <is>
          <t>BUY 400 NCD-REL @ 982.4374</t>
        </is>
      </c>
    </row>
    <row r="170">
      <c r="A170" t="n">
        <v>166</v>
      </c>
      <c r="B170" s="22" t="n">
        <v>46283</v>
      </c>
      <c r="C170" t="inlineStr">
        <is>
          <t>BETA_DEBT</t>
        </is>
      </c>
      <c r="D170" t="inlineStr">
        <is>
          <t>TRADE</t>
        </is>
      </c>
      <c r="E170" t="inlineStr">
        <is>
          <t>GOI7.26-36</t>
        </is>
      </c>
      <c r="G170" s="19" t="n">
        <v>-2000</v>
      </c>
      <c r="H170" s="23" t="n">
        <v>102.9503</v>
      </c>
      <c r="I170" s="24" t="n">
        <v>205900.6</v>
      </c>
      <c r="K170" t="inlineStr">
        <is>
          <t>SELL 2000 GOI7.26-36 @ 102.9503</t>
        </is>
      </c>
    </row>
    <row r="171">
      <c r="A171" t="n">
        <v>167</v>
      </c>
      <c r="B171" s="22" t="n">
        <v>46283</v>
      </c>
      <c r="C171" t="inlineStr">
        <is>
          <t>GAMMA_BAL</t>
        </is>
      </c>
      <c r="D171" t="inlineStr">
        <is>
          <t>REDEMPTION</t>
        </is>
      </c>
      <c r="E171" t="inlineStr">
        <is>
          <t>Sneha Iyer</t>
        </is>
      </c>
      <c r="F171" s="23" t="n">
        <v>-35109.5864</v>
      </c>
      <c r="I171" s="24" t="n">
        <v>-342462.47</v>
      </c>
      <c r="J171" s="18" t="n">
        <v>9.754099999999999</v>
      </c>
      <c r="K171" t="inlineStr">
        <is>
          <t>Redemption by Sneha Iyer (ADSIS2345D)</t>
        </is>
      </c>
    </row>
    <row r="172">
      <c r="A172" t="n">
        <v>168</v>
      </c>
      <c r="B172" s="22" t="n">
        <v>46283</v>
      </c>
      <c r="C172" t="inlineStr">
        <is>
          <t>GAMMA_BAL</t>
        </is>
      </c>
      <c r="D172" t="inlineStr">
        <is>
          <t>SUBSCRIPTION</t>
        </is>
      </c>
      <c r="E172" t="inlineStr">
        <is>
          <t>Sneha Iyer</t>
        </is>
      </c>
      <c r="F172" s="23" t="n">
        <v>920.6476</v>
      </c>
      <c r="I172" s="24" t="n">
        <v>8980.09</v>
      </c>
      <c r="J172" s="18" t="n">
        <v>9.754099999999999</v>
      </c>
      <c r="K172" t="inlineStr">
        <is>
          <t>Subscription by Sneha Iyer (ADSIS2345D)</t>
        </is>
      </c>
    </row>
    <row r="173">
      <c r="A173" t="n">
        <v>169</v>
      </c>
      <c r="B173" s="22" t="n">
        <v>46283</v>
      </c>
      <c r="C173" t="inlineStr">
        <is>
          <t>GAMMA_BAL</t>
        </is>
      </c>
      <c r="D173" t="inlineStr">
        <is>
          <t>TRADE</t>
        </is>
      </c>
      <c r="E173" t="inlineStr">
        <is>
          <t>INFY</t>
        </is>
      </c>
      <c r="G173" s="19" t="n">
        <v>1000</v>
      </c>
      <c r="H173" s="23" t="n">
        <v>1746.0417</v>
      </c>
      <c r="I173" s="24" t="n">
        <v>-1746041.7</v>
      </c>
      <c r="K173" t="inlineStr">
        <is>
          <t>BUY 1000 INFY @ 1746.0417</t>
        </is>
      </c>
    </row>
    <row r="174">
      <c r="A174" t="n">
        <v>170</v>
      </c>
      <c r="B174" s="22" t="n">
        <v>46283</v>
      </c>
      <c r="C174" t="inlineStr">
        <is>
          <t>GAMMA_BAL</t>
        </is>
      </c>
      <c r="D174" t="inlineStr">
        <is>
          <t>TRADE</t>
        </is>
      </c>
      <c r="E174" t="inlineStr">
        <is>
          <t>MARUTI</t>
        </is>
      </c>
      <c r="G174" s="19" t="n">
        <v>700</v>
      </c>
      <c r="H174" s="23" t="n">
        <v>1855.7068</v>
      </c>
      <c r="I174" s="24" t="n">
        <v>-1298994.76</v>
      </c>
      <c r="K174" t="inlineStr">
        <is>
          <t>BUY 700 MARUTI @ 1855.7068</t>
        </is>
      </c>
    </row>
    <row r="175">
      <c r="A175" t="n">
        <v>171</v>
      </c>
      <c r="B175" s="22" t="n">
        <v>46283</v>
      </c>
      <c r="C175" t="inlineStr">
        <is>
          <t>GAMMA_BAL</t>
        </is>
      </c>
      <c r="D175" t="inlineStr">
        <is>
          <t>TRADE</t>
        </is>
      </c>
      <c r="E175" t="inlineStr">
        <is>
          <t>MARUTI</t>
        </is>
      </c>
      <c r="G175" s="19" t="n">
        <v>-100</v>
      </c>
      <c r="H175" s="23" t="n">
        <v>1856.6252</v>
      </c>
      <c r="I175" s="24" t="n">
        <v>185662.52</v>
      </c>
      <c r="K175" t="inlineStr">
        <is>
          <t>SELL 100 MARUTI @ 1856.6252</t>
        </is>
      </c>
    </row>
    <row r="176">
      <c r="A176" t="n">
        <v>172</v>
      </c>
      <c r="B176" s="22" t="n">
        <v>46286</v>
      </c>
      <c r="C176" t="inlineStr">
        <is>
          <t>ALPHA_EQ</t>
        </is>
      </c>
      <c r="D176" t="inlineStr">
        <is>
          <t>REDEMPTION</t>
        </is>
      </c>
      <c r="E176" t="inlineStr">
        <is>
          <t>Ananya Gupta</t>
        </is>
      </c>
      <c r="F176" s="23" t="n">
        <v>-23724.1569</v>
      </c>
      <c r="I176" s="24" t="n">
        <v>-232009.45</v>
      </c>
      <c r="J176" s="18" t="n">
        <v>9.779500000000001</v>
      </c>
      <c r="K176" t="inlineStr">
        <is>
          <t>Redemption by Ananya Gupta (AANJG3456F)</t>
        </is>
      </c>
    </row>
    <row r="177">
      <c r="A177" t="n">
        <v>173</v>
      </c>
      <c r="B177" s="22" t="n">
        <v>46286</v>
      </c>
      <c r="C177" t="inlineStr">
        <is>
          <t>ALPHA_EQ</t>
        </is>
      </c>
      <c r="D177" t="inlineStr">
        <is>
          <t>SUBSCRIPTION</t>
        </is>
      </c>
      <c r="E177" t="inlineStr">
        <is>
          <t>Meera Joshi</t>
        </is>
      </c>
      <c r="F177" s="23" t="n">
        <v>15376.1647</v>
      </c>
      <c r="I177" s="24" t="n">
        <v>150370.59</v>
      </c>
      <c r="J177" s="18" t="n">
        <v>9.779500000000001</v>
      </c>
      <c r="K177" t="inlineStr">
        <is>
          <t>Subscription by Meera Joshi (MMJMJ7890K)</t>
        </is>
      </c>
    </row>
    <row r="178">
      <c r="A178" t="n">
        <v>174</v>
      </c>
      <c r="B178" s="22" t="n">
        <v>46286</v>
      </c>
      <c r="C178" t="inlineStr">
        <is>
          <t>ALPHA_EQ</t>
        </is>
      </c>
      <c r="D178" t="inlineStr">
        <is>
          <t>TRADE</t>
        </is>
      </c>
      <c r="E178" t="inlineStr">
        <is>
          <t>HDFCBANK</t>
        </is>
      </c>
      <c r="G178" s="19" t="n">
        <v>-1600</v>
      </c>
      <c r="H178" s="23" t="n">
        <v>1712.1934</v>
      </c>
      <c r="I178" s="24" t="n">
        <v>2739509.44</v>
      </c>
      <c r="K178" t="inlineStr">
        <is>
          <t>SELL 1600 HDFCBANK @ 1712.1934</t>
        </is>
      </c>
    </row>
    <row r="179">
      <c r="A179" t="n">
        <v>175</v>
      </c>
      <c r="B179" s="22" t="n">
        <v>46286</v>
      </c>
      <c r="C179" t="inlineStr">
        <is>
          <t>BETA_DEBT</t>
        </is>
      </c>
      <c r="D179" t="inlineStr">
        <is>
          <t>REDEMPTION</t>
        </is>
      </c>
      <c r="E179" t="inlineStr">
        <is>
          <t>Deepa Kulkarni</t>
        </is>
      </c>
      <c r="F179" s="23" t="n">
        <v>-27702.5282</v>
      </c>
      <c r="I179" s="24" t="n">
        <v>-280207.24</v>
      </c>
      <c r="J179" s="18" t="n">
        <v>10.1149</v>
      </c>
      <c r="K179" t="inlineStr">
        <is>
          <t>Redemption by Deepa Kulkarni (DKDKL5678H)</t>
        </is>
      </c>
    </row>
    <row r="180">
      <c r="A180" t="n">
        <v>176</v>
      </c>
      <c r="B180" s="22" t="n">
        <v>46286</v>
      </c>
      <c r="C180" t="inlineStr">
        <is>
          <t>BETA_DEBT</t>
        </is>
      </c>
      <c r="D180" t="inlineStr">
        <is>
          <t>SUBSCRIPTION</t>
        </is>
      </c>
      <c r="E180" t="inlineStr">
        <is>
          <t>Vikram Reddy</t>
        </is>
      </c>
      <c r="F180" s="23" t="n">
        <v>40171.0963</v>
      </c>
      <c r="I180" s="24" t="n">
        <v>406325.08</v>
      </c>
      <c r="J180" s="18" t="n">
        <v>10.1149</v>
      </c>
      <c r="K180" t="inlineStr">
        <is>
          <t>Subscription by Vikram Reddy (AVBRS7890E)</t>
        </is>
      </c>
    </row>
    <row r="181">
      <c r="A181" t="n">
        <v>177</v>
      </c>
      <c r="B181" s="22" t="n">
        <v>46286</v>
      </c>
      <c r="C181" t="inlineStr">
        <is>
          <t>BETA_DEBT</t>
        </is>
      </c>
      <c r="D181" t="inlineStr">
        <is>
          <t>TRADE</t>
        </is>
      </c>
      <c r="E181" t="inlineStr">
        <is>
          <t>NCD-REL</t>
        </is>
      </c>
      <c r="G181" s="19" t="n">
        <v>600</v>
      </c>
      <c r="H181" s="23" t="n">
        <v>986.5167</v>
      </c>
      <c r="I181" s="24" t="n">
        <v>-591910.02</v>
      </c>
      <c r="K181" t="inlineStr">
        <is>
          <t>BUY 600 NCD-REL @ 986.5167</t>
        </is>
      </c>
    </row>
    <row r="182">
      <c r="A182" t="n">
        <v>178</v>
      </c>
      <c r="B182" s="22" t="n">
        <v>46286</v>
      </c>
      <c r="C182" t="inlineStr">
        <is>
          <t>BETA_DEBT</t>
        </is>
      </c>
      <c r="D182" t="inlineStr">
        <is>
          <t>TRADE</t>
        </is>
      </c>
      <c r="E182" t="inlineStr">
        <is>
          <t>CP-TATA</t>
        </is>
      </c>
      <c r="G182" s="19" t="n">
        <v>-3500</v>
      </c>
      <c r="H182" s="23" t="n">
        <v>99.7882</v>
      </c>
      <c r="I182" s="24" t="n">
        <v>349258.7</v>
      </c>
      <c r="K182" t="inlineStr">
        <is>
          <t>SELL 3500 CP-TATA @ 99.7882</t>
        </is>
      </c>
    </row>
    <row r="183">
      <c r="A183" t="n">
        <v>179</v>
      </c>
      <c r="B183" s="22" t="n">
        <v>46286</v>
      </c>
      <c r="C183" t="inlineStr">
        <is>
          <t>GAMMA_BAL</t>
        </is>
      </c>
      <c r="D183" t="inlineStr">
        <is>
          <t>REDEMPTION</t>
        </is>
      </c>
      <c r="E183" t="inlineStr">
        <is>
          <t>Ananya Gupta</t>
        </is>
      </c>
      <c r="F183" s="23" t="n">
        <v>-38255.5607</v>
      </c>
      <c r="I183" s="24" t="n">
        <v>-372840.05</v>
      </c>
      <c r="J183" s="18" t="n">
        <v>9.746</v>
      </c>
      <c r="K183" t="inlineStr">
        <is>
          <t>Redemption by Ananya Gupta (AANJG3456F)</t>
        </is>
      </c>
    </row>
    <row r="184">
      <c r="A184" t="n">
        <v>180</v>
      </c>
      <c r="B184" s="22" t="n">
        <v>46286</v>
      </c>
      <c r="C184" t="inlineStr">
        <is>
          <t>GAMMA_BAL</t>
        </is>
      </c>
      <c r="D184" t="inlineStr">
        <is>
          <t>SUBSCRIPTION</t>
        </is>
      </c>
      <c r="E184" t="inlineStr">
        <is>
          <t>Rahul Mehta</t>
        </is>
      </c>
      <c r="F184" s="23" t="n">
        <v>4142.0391</v>
      </c>
      <c r="I184" s="24" t="n">
        <v>40368.46</v>
      </c>
      <c r="J184" s="18" t="n">
        <v>9.746</v>
      </c>
      <c r="K184" t="inlineStr">
        <is>
          <t>Subscription by Rahul Mehta (ACARM6789C)</t>
        </is>
      </c>
    </row>
    <row r="185">
      <c r="A185" t="n">
        <v>181</v>
      </c>
      <c r="B185" s="22" t="n">
        <v>46286</v>
      </c>
      <c r="C185" t="inlineStr">
        <is>
          <t>GAMMA_BAL</t>
        </is>
      </c>
      <c r="D185" t="inlineStr">
        <is>
          <t>TRADE</t>
        </is>
      </c>
      <c r="E185" t="inlineStr">
        <is>
          <t>INFY</t>
        </is>
      </c>
      <c r="G185" s="19" t="n">
        <v>-1000</v>
      </c>
      <c r="H185" s="23" t="n">
        <v>1755.5971</v>
      </c>
      <c r="I185" s="24" t="n">
        <v>1755597.1</v>
      </c>
      <c r="K185" t="inlineStr">
        <is>
          <t>SELL 1000 INFY @ 1755.5971</t>
        </is>
      </c>
    </row>
    <row r="186">
      <c r="A186" t="n">
        <v>182</v>
      </c>
      <c r="B186" s="22" t="n">
        <v>46286</v>
      </c>
      <c r="C186" t="inlineStr">
        <is>
          <t>GAMMA_BAL</t>
        </is>
      </c>
      <c r="D186" t="inlineStr">
        <is>
          <t>TRADE</t>
        </is>
      </c>
      <c r="E186" t="inlineStr">
        <is>
          <t>INFY</t>
        </is>
      </c>
      <c r="G186" s="19" t="n">
        <v>-2000</v>
      </c>
      <c r="H186" s="23" t="n">
        <v>1758.269</v>
      </c>
      <c r="I186" s="24" t="n">
        <v>3516538</v>
      </c>
      <c r="K186" t="inlineStr">
        <is>
          <t>SELL 2000 INFY @ 1758.269</t>
        </is>
      </c>
    </row>
    <row r="187">
      <c r="A187" t="n">
        <v>183</v>
      </c>
      <c r="B187" s="22" t="n">
        <v>46286</v>
      </c>
      <c r="C187" t="inlineStr">
        <is>
          <t>GAMMA_BAL</t>
        </is>
      </c>
      <c r="D187" t="inlineStr">
        <is>
          <t>TRADE</t>
        </is>
      </c>
      <c r="E187" t="inlineStr">
        <is>
          <t>LT</t>
        </is>
      </c>
      <c r="G187" s="19" t="n">
        <v>-2000</v>
      </c>
      <c r="H187" s="23" t="n">
        <v>2394.917</v>
      </c>
      <c r="I187" s="24" t="n">
        <v>4789834</v>
      </c>
      <c r="K187" t="inlineStr">
        <is>
          <t>SELL 2000 LT @ 2394.917</t>
        </is>
      </c>
    </row>
    <row r="188">
      <c r="A188" t="n">
        <v>184</v>
      </c>
      <c r="B188" s="22" t="n">
        <v>46287</v>
      </c>
      <c r="C188" t="inlineStr">
        <is>
          <t>ALPHA_EQ</t>
        </is>
      </c>
      <c r="D188" t="inlineStr">
        <is>
          <t>REDEMPTION</t>
        </is>
      </c>
      <c r="E188" t="inlineStr">
        <is>
          <t>Rahul Mehta</t>
        </is>
      </c>
      <c r="F188" s="23" t="n">
        <v>-27935.8875</v>
      </c>
      <c r="I188" s="24" t="n">
        <v>-274921.11</v>
      </c>
      <c r="J188" s="18" t="n">
        <v>9.841100000000001</v>
      </c>
      <c r="K188" t="inlineStr">
        <is>
          <t>Redemption by Rahul Mehta (ACARM6789C)</t>
        </is>
      </c>
    </row>
    <row r="189">
      <c r="A189" t="n">
        <v>185</v>
      </c>
      <c r="B189" s="22" t="n">
        <v>46287</v>
      </c>
      <c r="C189" t="inlineStr">
        <is>
          <t>ALPHA_EQ</t>
        </is>
      </c>
      <c r="D189" t="inlineStr">
        <is>
          <t>SUBSCRIPTION</t>
        </is>
      </c>
      <c r="E189" t="inlineStr">
        <is>
          <t>Sneha Iyer</t>
        </is>
      </c>
      <c r="F189" s="23" t="n">
        <v>33014.0076</v>
      </c>
      <c r="I189" s="24" t="n">
        <v>324895.63</v>
      </c>
      <c r="J189" s="18" t="n">
        <v>9.841100000000001</v>
      </c>
      <c r="K189" t="inlineStr">
        <is>
          <t>Subscription by Sneha Iyer (ADSIS2345D)</t>
        </is>
      </c>
    </row>
    <row r="190">
      <c r="A190" t="n">
        <v>186</v>
      </c>
      <c r="B190" s="22" t="n">
        <v>46287</v>
      </c>
      <c r="C190" t="inlineStr">
        <is>
          <t>ALPHA_EQ</t>
        </is>
      </c>
      <c r="D190" t="inlineStr">
        <is>
          <t>TRADE</t>
        </is>
      </c>
      <c r="E190" t="inlineStr">
        <is>
          <t>TCS</t>
        </is>
      </c>
      <c r="G190" s="19" t="n">
        <v>1500</v>
      </c>
      <c r="H190" s="23" t="n">
        <v>3777.6584</v>
      </c>
      <c r="I190" s="24" t="n">
        <v>-5666487.6</v>
      </c>
      <c r="K190" t="inlineStr">
        <is>
          <t>BUY 1500 TCS @ 3777.6584</t>
        </is>
      </c>
    </row>
    <row r="191">
      <c r="A191" t="n">
        <v>187</v>
      </c>
      <c r="B191" s="22" t="n">
        <v>46287</v>
      </c>
      <c r="C191" t="inlineStr">
        <is>
          <t>ALPHA_EQ</t>
        </is>
      </c>
      <c r="D191" t="inlineStr">
        <is>
          <t>TRADE</t>
        </is>
      </c>
      <c r="E191" t="inlineStr">
        <is>
          <t>RELIANCE</t>
        </is>
      </c>
      <c r="G191" s="19" t="n">
        <v>-1500</v>
      </c>
      <c r="H191" s="23" t="n">
        <v>1492.4698</v>
      </c>
      <c r="I191" s="24" t="n">
        <v>2238704.7</v>
      </c>
      <c r="K191" t="inlineStr">
        <is>
          <t>SELL 1500 RELIANCE @ 1492.4698</t>
        </is>
      </c>
    </row>
    <row r="192">
      <c r="A192" t="n">
        <v>188</v>
      </c>
      <c r="B192" s="22" t="n">
        <v>46287</v>
      </c>
      <c r="C192" t="inlineStr">
        <is>
          <t>BETA_DEBT</t>
        </is>
      </c>
      <c r="D192" t="inlineStr">
        <is>
          <t>REDEMPTION</t>
        </is>
      </c>
      <c r="E192" t="inlineStr">
        <is>
          <t>Sneha Iyer</t>
        </is>
      </c>
      <c r="F192" s="23" t="n">
        <v>-47081.6511</v>
      </c>
      <c r="I192" s="24" t="n">
        <v>-473638.02</v>
      </c>
      <c r="J192" s="18" t="n">
        <v>10.0599</v>
      </c>
      <c r="K192" t="inlineStr">
        <is>
          <t>Redemption by Sneha Iyer (ADSIS2345D)</t>
        </is>
      </c>
    </row>
    <row r="193">
      <c r="A193" t="n">
        <v>189</v>
      </c>
      <c r="B193" s="22" t="n">
        <v>46287</v>
      </c>
      <c r="C193" t="inlineStr">
        <is>
          <t>BETA_DEBT</t>
        </is>
      </c>
      <c r="D193" t="inlineStr">
        <is>
          <t>SUBSCRIPTION</t>
        </is>
      </c>
      <c r="E193" t="inlineStr">
        <is>
          <t>Ananya Gupta</t>
        </is>
      </c>
      <c r="F193" s="23" t="n">
        <v>29734.7135</v>
      </c>
      <c r="I193" s="24" t="n">
        <v>299129.08</v>
      </c>
      <c r="J193" s="18" t="n">
        <v>10.0599</v>
      </c>
      <c r="K193" t="inlineStr">
        <is>
          <t>Subscription by Ananya Gupta (AANJG3456F)</t>
        </is>
      </c>
    </row>
    <row r="194">
      <c r="A194" t="n">
        <v>190</v>
      </c>
      <c r="B194" s="22" t="n">
        <v>46287</v>
      </c>
      <c r="C194" t="inlineStr">
        <is>
          <t>BETA_DEBT</t>
        </is>
      </c>
      <c r="D194" t="inlineStr">
        <is>
          <t>TRADE</t>
        </is>
      </c>
      <c r="E194" t="inlineStr">
        <is>
          <t>NCD-REL</t>
        </is>
      </c>
      <c r="G194" s="19" t="n">
        <v>-200</v>
      </c>
      <c r="H194" s="23" t="n">
        <v>985.0992</v>
      </c>
      <c r="I194" s="24" t="n">
        <v>197019.84</v>
      </c>
      <c r="K194" t="inlineStr">
        <is>
          <t>SELL 200 NCD-REL @ 985.0992</t>
        </is>
      </c>
    </row>
    <row r="195">
      <c r="A195" t="n">
        <v>191</v>
      </c>
      <c r="B195" s="22" t="n">
        <v>46287</v>
      </c>
      <c r="C195" t="inlineStr">
        <is>
          <t>BETA_DEBT</t>
        </is>
      </c>
      <c r="D195" t="inlineStr">
        <is>
          <t>TRADE</t>
        </is>
      </c>
      <c r="E195" t="inlineStr">
        <is>
          <t>GOI8.2-33</t>
        </is>
      </c>
      <c r="G195" s="19" t="n">
        <v>-4000</v>
      </c>
      <c r="H195" s="23" t="n">
        <v>109.6287</v>
      </c>
      <c r="I195" s="24" t="n">
        <v>438514.8</v>
      </c>
      <c r="K195" t="inlineStr">
        <is>
          <t>SELL 4000 GOI8.2-33 @ 109.6287</t>
        </is>
      </c>
    </row>
    <row r="196">
      <c r="A196" t="n">
        <v>192</v>
      </c>
      <c r="B196" s="22" t="n">
        <v>46287</v>
      </c>
      <c r="C196" t="inlineStr">
        <is>
          <t>GAMMA_BAL</t>
        </is>
      </c>
      <c r="D196" t="inlineStr">
        <is>
          <t>REDEMPTION</t>
        </is>
      </c>
      <c r="E196" t="inlineStr">
        <is>
          <t>Priya Nair</t>
        </is>
      </c>
      <c r="F196" s="23" t="n">
        <v>-20488.2436</v>
      </c>
      <c r="I196" s="24" t="n">
        <v>-198859.25</v>
      </c>
      <c r="J196" s="18" t="n">
        <v>9.706</v>
      </c>
      <c r="K196" t="inlineStr">
        <is>
          <t>Redemption by Priya Nair (ABCPN5678B)</t>
        </is>
      </c>
    </row>
    <row r="197">
      <c r="A197" t="n">
        <v>193</v>
      </c>
      <c r="B197" s="22" t="n">
        <v>46287</v>
      </c>
      <c r="C197" t="inlineStr">
        <is>
          <t>GAMMA_BAL</t>
        </is>
      </c>
      <c r="D197" t="inlineStr">
        <is>
          <t>SUBSCRIPTION</t>
        </is>
      </c>
      <c r="E197" t="inlineStr">
        <is>
          <t>Deepa Kulkarni</t>
        </is>
      </c>
      <c r="F197" s="23" t="n">
        <v>7337.5696</v>
      </c>
      <c r="I197" s="24" t="n">
        <v>71218.58</v>
      </c>
      <c r="J197" s="18" t="n">
        <v>9.706</v>
      </c>
      <c r="K197" t="inlineStr">
        <is>
          <t>Subscription by Deepa Kulkarni (DKDKL5678H)</t>
        </is>
      </c>
    </row>
    <row r="198">
      <c r="A198" t="n">
        <v>194</v>
      </c>
      <c r="B198" s="22" t="n">
        <v>46287</v>
      </c>
      <c r="C198" t="inlineStr">
        <is>
          <t>GAMMA_BAL</t>
        </is>
      </c>
      <c r="D198" t="inlineStr">
        <is>
          <t>TRADE</t>
        </is>
      </c>
      <c r="E198" t="inlineStr">
        <is>
          <t>GOI7.26-36</t>
        </is>
      </c>
      <c r="G198" s="19" t="n">
        <v>1500</v>
      </c>
      <c r="H198" s="23" t="n">
        <v>102.9022</v>
      </c>
      <c r="I198" s="24" t="n">
        <v>-154353.3</v>
      </c>
      <c r="K198" t="inlineStr">
        <is>
          <t>BUY 1500 GOI7.26-36 @ 102.9022</t>
        </is>
      </c>
    </row>
    <row r="199">
      <c r="A199" t="n">
        <v>195</v>
      </c>
      <c r="B199" s="22" t="n">
        <v>46287</v>
      </c>
      <c r="C199" t="inlineStr">
        <is>
          <t>GAMMA_BAL</t>
        </is>
      </c>
      <c r="D199" t="inlineStr">
        <is>
          <t>TRADE</t>
        </is>
      </c>
      <c r="E199" t="inlineStr">
        <is>
          <t>MARUTI</t>
        </is>
      </c>
      <c r="G199" s="19" t="n">
        <v>7000</v>
      </c>
      <c r="H199" s="23" t="n">
        <v>1820.1841</v>
      </c>
      <c r="I199" s="24" t="n">
        <v>-12741288.7</v>
      </c>
      <c r="K199" t="inlineStr">
        <is>
          <t>BUY 7000 MARUTI @ 1820.1841</t>
        </is>
      </c>
    </row>
    <row r="200">
      <c r="A200" t="n">
        <v>196</v>
      </c>
      <c r="B200" s="22" t="n">
        <v>46288</v>
      </c>
      <c r="C200" t="inlineStr">
        <is>
          <t>ALPHA_EQ</t>
        </is>
      </c>
      <c r="D200" t="inlineStr">
        <is>
          <t>TRADE</t>
        </is>
      </c>
      <c r="E200" t="inlineStr">
        <is>
          <t>RELIANCE</t>
        </is>
      </c>
      <c r="G200" s="19" t="n">
        <v>6000</v>
      </c>
      <c r="H200" s="23" t="n">
        <v>1483.9879</v>
      </c>
      <c r="I200" s="24" t="n">
        <v>-8903927.4</v>
      </c>
      <c r="K200" t="inlineStr">
        <is>
          <t>BUY 6000 RELIANCE @ 1483.9879</t>
        </is>
      </c>
    </row>
    <row r="201">
      <c r="A201" t="n">
        <v>197</v>
      </c>
      <c r="B201" s="22" t="n">
        <v>46288</v>
      </c>
      <c r="C201" t="inlineStr">
        <is>
          <t>ALPHA_EQ</t>
        </is>
      </c>
      <c r="D201" t="inlineStr">
        <is>
          <t>TRADE</t>
        </is>
      </c>
      <c r="E201" t="inlineStr">
        <is>
          <t>HDFCBANK</t>
        </is>
      </c>
      <c r="G201" s="19" t="n">
        <v>-8000</v>
      </c>
      <c r="H201" s="23" t="n">
        <v>1692.2719</v>
      </c>
      <c r="I201" s="24" t="n">
        <v>13538175.2</v>
      </c>
      <c r="K201" t="inlineStr">
        <is>
          <t>SELL 8000 HDFCBANK @ 1692.2719</t>
        </is>
      </c>
    </row>
    <row r="202">
      <c r="A202" t="n">
        <v>198</v>
      </c>
      <c r="B202" s="22" t="n">
        <v>46288</v>
      </c>
      <c r="C202" t="inlineStr">
        <is>
          <t>BETA_DEBT</t>
        </is>
      </c>
      <c r="D202" t="inlineStr">
        <is>
          <t>REDEMPTION</t>
        </is>
      </c>
      <c r="E202" t="inlineStr">
        <is>
          <t>Rahul Mehta</t>
        </is>
      </c>
      <c r="F202" s="23" t="n">
        <v>-28639.9614</v>
      </c>
      <c r="I202" s="24" t="n">
        <v>-291513.69</v>
      </c>
      <c r="J202" s="18" t="n">
        <v>10.1786</v>
      </c>
      <c r="K202" t="inlineStr">
        <is>
          <t>Redemption by Rahul Mehta (ACARM6789C)</t>
        </is>
      </c>
    </row>
    <row r="203">
      <c r="A203" t="n">
        <v>199</v>
      </c>
      <c r="B203" s="22" t="n">
        <v>46288</v>
      </c>
      <c r="C203" t="inlineStr">
        <is>
          <t>BETA_DEBT</t>
        </is>
      </c>
      <c r="D203" t="inlineStr">
        <is>
          <t>SUBSCRIPTION</t>
        </is>
      </c>
      <c r="E203" t="inlineStr">
        <is>
          <t>Sneha Iyer</t>
        </is>
      </c>
      <c r="F203" s="23" t="n">
        <v>9113.3362</v>
      </c>
      <c r="I203" s="24" t="n">
        <v>92760.67999999999</v>
      </c>
      <c r="J203" s="18" t="n">
        <v>10.1786</v>
      </c>
      <c r="K203" t="inlineStr">
        <is>
          <t>Subscription by Sneha Iyer (ADSIS2345D)</t>
        </is>
      </c>
    </row>
    <row r="204">
      <c r="A204" t="n">
        <v>200</v>
      </c>
      <c r="B204" s="22" t="n">
        <v>46288</v>
      </c>
      <c r="C204" t="inlineStr">
        <is>
          <t>BETA_DEBT</t>
        </is>
      </c>
      <c r="D204" t="inlineStr">
        <is>
          <t>TRADE</t>
        </is>
      </c>
      <c r="E204" t="inlineStr">
        <is>
          <t>GOI8.2-33</t>
        </is>
      </c>
      <c r="G204" s="19" t="n">
        <v>-1000</v>
      </c>
      <c r="H204" s="23" t="n">
        <v>109.4838</v>
      </c>
      <c r="I204" s="24" t="n">
        <v>109483.8</v>
      </c>
      <c r="K204" t="inlineStr">
        <is>
          <t>SELL 1000 GOI8.2-33 @ 109.4838</t>
        </is>
      </c>
    </row>
    <row r="205">
      <c r="A205" t="n">
        <v>201</v>
      </c>
      <c r="B205" s="22" t="n">
        <v>46288</v>
      </c>
      <c r="C205" t="inlineStr">
        <is>
          <t>BETA_DEBT</t>
        </is>
      </c>
      <c r="D205" t="inlineStr">
        <is>
          <t>TRADE</t>
        </is>
      </c>
      <c r="E205" t="inlineStr">
        <is>
          <t>GOI8.2-33</t>
        </is>
      </c>
      <c r="G205" s="19" t="n">
        <v>-2000</v>
      </c>
      <c r="H205" s="23" t="n">
        <v>109.3705</v>
      </c>
      <c r="I205" s="24" t="n">
        <v>218741</v>
      </c>
      <c r="K205" t="inlineStr">
        <is>
          <t>SELL 2000 GOI8.2-33 @ 109.3705</t>
        </is>
      </c>
    </row>
    <row r="206">
      <c r="A206" t="n">
        <v>202</v>
      </c>
      <c r="B206" s="22" t="n">
        <v>46288</v>
      </c>
      <c r="C206" t="inlineStr">
        <is>
          <t>GAMMA_BAL</t>
        </is>
      </c>
      <c r="D206" t="inlineStr">
        <is>
          <t>SUBSCRIPTION</t>
        </is>
      </c>
      <c r="E206" t="inlineStr">
        <is>
          <t>Vikram Reddy</t>
        </is>
      </c>
      <c r="F206" s="23" t="n">
        <v>6759.425</v>
      </c>
      <c r="I206" s="24" t="n">
        <v>65974.75999999999</v>
      </c>
      <c r="J206" s="18" t="n">
        <v>9.760400000000001</v>
      </c>
      <c r="K206" t="inlineStr">
        <is>
          <t>Subscription by Vikram Reddy (AVBRS7890E)</t>
        </is>
      </c>
    </row>
    <row r="207">
      <c r="A207" t="n">
        <v>203</v>
      </c>
      <c r="B207" s="22" t="n">
        <v>46288</v>
      </c>
      <c r="C207" t="inlineStr">
        <is>
          <t>GAMMA_BAL</t>
        </is>
      </c>
      <c r="D207" t="inlineStr">
        <is>
          <t>TRADE</t>
        </is>
      </c>
      <c r="E207" t="inlineStr">
        <is>
          <t>MARUTI</t>
        </is>
      </c>
      <c r="G207" s="19" t="n">
        <v>-600</v>
      </c>
      <c r="H207" s="23" t="n">
        <v>1796.087</v>
      </c>
      <c r="I207" s="24" t="n">
        <v>1077652.2</v>
      </c>
      <c r="K207" t="inlineStr">
        <is>
          <t>SELL 600 MARUTI @ 1796.087</t>
        </is>
      </c>
    </row>
    <row r="208">
      <c r="A208" t="n">
        <v>204</v>
      </c>
      <c r="B208" s="22" t="n">
        <v>46289</v>
      </c>
      <c r="C208" t="inlineStr">
        <is>
          <t>ALPHA_EQ</t>
        </is>
      </c>
      <c r="D208" t="inlineStr">
        <is>
          <t>REDEMPTION</t>
        </is>
      </c>
      <c r="E208" t="inlineStr">
        <is>
          <t>Deepa Kulkarni</t>
        </is>
      </c>
      <c r="F208" s="23" t="n">
        <v>-17808.875</v>
      </c>
      <c r="I208" s="24" t="n">
        <v>-176785.04</v>
      </c>
      <c r="J208" s="18" t="n">
        <v>9.9268</v>
      </c>
      <c r="K208" t="inlineStr">
        <is>
          <t>Redemption by Deepa Kulkarni (DKDKL5678H)</t>
        </is>
      </c>
    </row>
    <row r="209">
      <c r="A209" t="n">
        <v>205</v>
      </c>
      <c r="B209" s="22" t="n">
        <v>46289</v>
      </c>
      <c r="C209" t="inlineStr">
        <is>
          <t>ALPHA_EQ</t>
        </is>
      </c>
      <c r="D209" t="inlineStr">
        <is>
          <t>TRADE</t>
        </is>
      </c>
      <c r="E209" t="inlineStr">
        <is>
          <t>HDFCBANK</t>
        </is>
      </c>
      <c r="G209" s="19" t="n">
        <v>-400</v>
      </c>
      <c r="H209" s="23" t="n">
        <v>1699.0984</v>
      </c>
      <c r="I209" s="24" t="n">
        <v>679639.36</v>
      </c>
      <c r="K209" t="inlineStr">
        <is>
          <t>SELL 400 HDFCBANK @ 1699.0984</t>
        </is>
      </c>
    </row>
    <row r="210">
      <c r="A210" t="n">
        <v>206</v>
      </c>
      <c r="B210" s="22" t="n">
        <v>46289</v>
      </c>
      <c r="C210" t="inlineStr">
        <is>
          <t>BETA_DEBT</t>
        </is>
      </c>
      <c r="D210" t="inlineStr">
        <is>
          <t>SUBSCRIPTION</t>
        </is>
      </c>
      <c r="E210" t="inlineStr">
        <is>
          <t>Aarav Sharma</t>
        </is>
      </c>
      <c r="F210" s="23" t="n">
        <v>947.0865</v>
      </c>
      <c r="I210" s="24" t="n">
        <v>9673.459999999999</v>
      </c>
      <c r="J210" s="18" t="n">
        <v>10.2139</v>
      </c>
      <c r="K210" t="inlineStr">
        <is>
          <t>Subscription by Aarav Sharma (AAAPS1234A)</t>
        </is>
      </c>
    </row>
    <row r="211">
      <c r="A211" t="n">
        <v>207</v>
      </c>
      <c r="B211" s="22" t="n">
        <v>46289</v>
      </c>
      <c r="C211" t="inlineStr">
        <is>
          <t>BETA_DEBT</t>
        </is>
      </c>
      <c r="D211" t="inlineStr">
        <is>
          <t>TRADE</t>
        </is>
      </c>
      <c r="E211" t="inlineStr">
        <is>
          <t>NCD-REL</t>
        </is>
      </c>
      <c r="G211" s="19" t="n">
        <v>800</v>
      </c>
      <c r="H211" s="23" t="n">
        <v>980.5410000000001</v>
      </c>
      <c r="I211" s="24" t="n">
        <v>-784432.8</v>
      </c>
      <c r="K211" t="inlineStr">
        <is>
          <t>BUY 800 NCD-REL @ 980.541</t>
        </is>
      </c>
    </row>
    <row r="212">
      <c r="A212" t="n">
        <v>208</v>
      </c>
      <c r="B212" s="22" t="n">
        <v>46289</v>
      </c>
      <c r="C212" t="inlineStr">
        <is>
          <t>BETA_DEBT</t>
        </is>
      </c>
      <c r="D212" t="inlineStr">
        <is>
          <t>TRADE</t>
        </is>
      </c>
      <c r="E212" t="inlineStr">
        <is>
          <t>GOI7.26-36</t>
        </is>
      </c>
      <c r="G212" s="19" t="n">
        <v>300</v>
      </c>
      <c r="H212" s="23" t="n">
        <v>103.0269</v>
      </c>
      <c r="I212" s="24" t="n">
        <v>-30908.07</v>
      </c>
      <c r="K212" t="inlineStr">
        <is>
          <t>BUY 300 GOI7.26-36 @ 103.0269</t>
        </is>
      </c>
    </row>
    <row r="213">
      <c r="A213" t="n">
        <v>209</v>
      </c>
      <c r="B213" s="22" t="n">
        <v>46289</v>
      </c>
      <c r="C213" t="inlineStr">
        <is>
          <t>BETA_DEBT</t>
        </is>
      </c>
      <c r="D213" t="inlineStr">
        <is>
          <t>TRADE</t>
        </is>
      </c>
      <c r="E213" t="inlineStr">
        <is>
          <t>NCD-REL</t>
        </is>
      </c>
      <c r="G213" s="19" t="n">
        <v>-3000</v>
      </c>
      <c r="H213" s="23" t="n">
        <v>978.676</v>
      </c>
      <c r="I213" s="24" t="n">
        <v>2936028</v>
      </c>
      <c r="K213" t="inlineStr">
        <is>
          <t>SELL 3000 NCD-REL @ 978.676</t>
        </is>
      </c>
    </row>
    <row r="214">
      <c r="A214" t="n">
        <v>210</v>
      </c>
      <c r="B214" s="22" t="n">
        <v>46289</v>
      </c>
      <c r="C214" t="inlineStr">
        <is>
          <t>GAMMA_BAL</t>
        </is>
      </c>
      <c r="D214" t="inlineStr">
        <is>
          <t>REDEMPTION</t>
        </is>
      </c>
      <c r="E214" t="inlineStr">
        <is>
          <t>Deepa Kulkarni</t>
        </is>
      </c>
      <c r="F214" s="23" t="n">
        <v>-15961.2272</v>
      </c>
      <c r="I214" s="24" t="n">
        <v>-155572.74</v>
      </c>
      <c r="J214" s="18" t="n">
        <v>9.7469</v>
      </c>
      <c r="K214" t="inlineStr">
        <is>
          <t>Redemption by Deepa Kulkarni (DKDKL5678H)</t>
        </is>
      </c>
    </row>
    <row r="215">
      <c r="A215" t="n">
        <v>211</v>
      </c>
      <c r="B215" s="22" t="n">
        <v>46289</v>
      </c>
      <c r="C215" t="inlineStr">
        <is>
          <t>GAMMA_BAL</t>
        </is>
      </c>
      <c r="D215" t="inlineStr">
        <is>
          <t>TRADE</t>
        </is>
      </c>
      <c r="E215" t="inlineStr">
        <is>
          <t>MARUTI</t>
        </is>
      </c>
      <c r="G215" s="19" t="n">
        <v>4000</v>
      </c>
      <c r="H215" s="23" t="n">
        <v>1769.1959</v>
      </c>
      <c r="I215" s="24" t="n">
        <v>-7076783.6</v>
      </c>
      <c r="K215" t="inlineStr">
        <is>
          <t>BUY 4000 MARUTI @ 1769.1959</t>
        </is>
      </c>
    </row>
    <row r="216">
      <c r="A216" t="n">
        <v>212</v>
      </c>
      <c r="B216" s="22" t="n">
        <v>46290</v>
      </c>
      <c r="C216" t="inlineStr">
        <is>
          <t>ALPHA_EQ</t>
        </is>
      </c>
      <c r="D216" t="inlineStr">
        <is>
          <t>REDEMPTION</t>
        </is>
      </c>
      <c r="E216" t="inlineStr">
        <is>
          <t>Vikram Reddy</t>
        </is>
      </c>
      <c r="F216" s="23" t="n">
        <v>-14934.6402</v>
      </c>
      <c r="I216" s="24" t="n">
        <v>-145874.72</v>
      </c>
      <c r="J216" s="18" t="n">
        <v>9.7675</v>
      </c>
      <c r="K216" t="inlineStr">
        <is>
          <t>Redemption by Vikram Reddy (AVBRS7890E)</t>
        </is>
      </c>
    </row>
    <row r="217">
      <c r="A217" t="n">
        <v>213</v>
      </c>
      <c r="B217" s="22" t="n">
        <v>46290</v>
      </c>
      <c r="C217" t="inlineStr">
        <is>
          <t>ALPHA_EQ</t>
        </is>
      </c>
      <c r="D217" t="inlineStr">
        <is>
          <t>SUBSCRIPTION</t>
        </is>
      </c>
      <c r="E217" t="inlineStr">
        <is>
          <t>Karan Singh</t>
        </is>
      </c>
      <c r="F217" s="23" t="n">
        <v>44593.109</v>
      </c>
      <c r="I217" s="24" t="n">
        <v>435565.06</v>
      </c>
      <c r="J217" s="18" t="n">
        <v>9.7675</v>
      </c>
      <c r="K217" t="inlineStr">
        <is>
          <t>Subscription by Karan Singh (AKLSG4567G)</t>
        </is>
      </c>
    </row>
    <row r="218">
      <c r="A218" t="n">
        <v>214</v>
      </c>
      <c r="B218" s="22" t="n">
        <v>46290</v>
      </c>
      <c r="C218" t="inlineStr">
        <is>
          <t>ALPHA_EQ</t>
        </is>
      </c>
      <c r="D218" t="inlineStr">
        <is>
          <t>TRADE</t>
        </is>
      </c>
      <c r="E218" t="inlineStr">
        <is>
          <t>ITC</t>
        </is>
      </c>
      <c r="G218" s="19" t="n">
        <v>-1500</v>
      </c>
      <c r="H218" s="23" t="n">
        <v>463.1217</v>
      </c>
      <c r="I218" s="24" t="n">
        <v>694682.55</v>
      </c>
      <c r="K218" t="inlineStr">
        <is>
          <t>SELL 1500 ITC @ 463.1217</t>
        </is>
      </c>
    </row>
    <row r="219">
      <c r="A219" t="n">
        <v>215</v>
      </c>
      <c r="B219" s="22" t="n">
        <v>46290</v>
      </c>
      <c r="C219" t="inlineStr">
        <is>
          <t>ALPHA_EQ</t>
        </is>
      </c>
      <c r="D219" t="inlineStr">
        <is>
          <t>TRADE</t>
        </is>
      </c>
      <c r="E219" t="inlineStr">
        <is>
          <t>ITC</t>
        </is>
      </c>
      <c r="G219" s="19" t="n">
        <v>-1000</v>
      </c>
      <c r="H219" s="23" t="n">
        <v>463.314</v>
      </c>
      <c r="I219" s="24" t="n">
        <v>463314</v>
      </c>
      <c r="K219" t="inlineStr">
        <is>
          <t>SELL 1000 ITC @ 463.314</t>
        </is>
      </c>
    </row>
    <row r="220">
      <c r="A220" t="n">
        <v>216</v>
      </c>
      <c r="B220" s="22" t="n">
        <v>46290</v>
      </c>
      <c r="C220" t="inlineStr">
        <is>
          <t>BETA_DEBT</t>
        </is>
      </c>
      <c r="D220" t="inlineStr">
        <is>
          <t>REDEMPTION</t>
        </is>
      </c>
      <c r="E220" t="inlineStr">
        <is>
          <t>Priya Nair</t>
        </is>
      </c>
      <c r="F220" s="23" t="n">
        <v>-47706.6767</v>
      </c>
      <c r="I220" s="24" t="n">
        <v>-493657.09</v>
      </c>
      <c r="J220" s="18" t="n">
        <v>10.3478</v>
      </c>
      <c r="K220" t="inlineStr">
        <is>
          <t>Redemption by Priya Nair (ABCPN5678B)</t>
        </is>
      </c>
    </row>
    <row r="221">
      <c r="A221" t="n">
        <v>217</v>
      </c>
      <c r="B221" s="22" t="n">
        <v>46290</v>
      </c>
      <c r="C221" t="inlineStr">
        <is>
          <t>BETA_DEBT</t>
        </is>
      </c>
      <c r="D221" t="inlineStr">
        <is>
          <t>SUBSCRIPTION</t>
        </is>
      </c>
      <c r="E221" t="inlineStr">
        <is>
          <t>Sneha Iyer</t>
        </is>
      </c>
      <c r="F221" s="23" t="n">
        <v>1478.677</v>
      </c>
      <c r="I221" s="24" t="n">
        <v>15300.99</v>
      </c>
      <c r="J221" s="18" t="n">
        <v>10.3478</v>
      </c>
      <c r="K221" t="inlineStr">
        <is>
          <t>Subscription by Sneha Iyer (ADSIS2345D)</t>
        </is>
      </c>
    </row>
    <row r="222">
      <c r="A222" t="n">
        <v>218</v>
      </c>
      <c r="B222" s="22" t="n">
        <v>46290</v>
      </c>
      <c r="C222" t="inlineStr">
        <is>
          <t>BETA_DEBT</t>
        </is>
      </c>
      <c r="D222" t="inlineStr">
        <is>
          <t>TRADE</t>
        </is>
      </c>
      <c r="E222" t="inlineStr">
        <is>
          <t>SDL-MH-32</t>
        </is>
      </c>
      <c r="G222" s="19" t="n">
        <v>-800</v>
      </c>
      <c r="H222" s="23" t="n">
        <v>103.1636</v>
      </c>
      <c r="I222" s="24" t="n">
        <v>82530.88</v>
      </c>
      <c r="K222" t="inlineStr">
        <is>
          <t>SELL 800 SDL-MH-32 @ 103.1636</t>
        </is>
      </c>
    </row>
    <row r="223">
      <c r="A223" t="n">
        <v>219</v>
      </c>
      <c r="B223" s="22" t="n">
        <v>46290</v>
      </c>
      <c r="C223" t="inlineStr">
        <is>
          <t>BETA_DEBT</t>
        </is>
      </c>
      <c r="D223" t="inlineStr">
        <is>
          <t>TRADE</t>
        </is>
      </c>
      <c r="E223" t="inlineStr">
        <is>
          <t>GOI8.2-33</t>
        </is>
      </c>
      <c r="G223" s="19" t="n">
        <v>500</v>
      </c>
      <c r="H223" s="23" t="n">
        <v>109.168</v>
      </c>
      <c r="I223" s="24" t="n">
        <v>-54584</v>
      </c>
      <c r="K223" t="inlineStr">
        <is>
          <t>BUY 500 GOI8.2-33 @ 109.168</t>
        </is>
      </c>
    </row>
    <row r="224">
      <c r="A224" t="n">
        <v>220</v>
      </c>
      <c r="B224" s="22" t="n">
        <v>46290</v>
      </c>
      <c r="C224" t="inlineStr">
        <is>
          <t>GAMMA_BAL</t>
        </is>
      </c>
      <c r="D224" t="inlineStr">
        <is>
          <t>REDEMPTION</t>
        </is>
      </c>
      <c r="E224" t="inlineStr">
        <is>
          <t>Karan Singh</t>
        </is>
      </c>
      <c r="F224" s="23" t="n">
        <v>-19998.4613</v>
      </c>
      <c r="I224" s="24" t="n">
        <v>-193888.36</v>
      </c>
      <c r="J224" s="18" t="n">
        <v>9.6952</v>
      </c>
      <c r="K224" t="inlineStr">
        <is>
          <t>Redemption by Karan Singh (AKLSG4567G)</t>
        </is>
      </c>
    </row>
    <row r="225">
      <c r="A225" t="n">
        <v>221</v>
      </c>
      <c r="B225" s="22" t="n">
        <v>46290</v>
      </c>
      <c r="C225" t="inlineStr">
        <is>
          <t>GAMMA_BAL</t>
        </is>
      </c>
      <c r="D225" t="inlineStr">
        <is>
          <t>SUBSCRIPTION</t>
        </is>
      </c>
      <c r="E225" t="inlineStr">
        <is>
          <t>Sneha Iyer</t>
        </is>
      </c>
      <c r="F225" s="23" t="n">
        <v>23409.8843</v>
      </c>
      <c r="I225" s="24" t="n">
        <v>226962.66</v>
      </c>
      <c r="J225" s="18" t="n">
        <v>9.6952</v>
      </c>
      <c r="K225" t="inlineStr">
        <is>
          <t>Subscription by Sneha Iyer (ADSIS2345D)</t>
        </is>
      </c>
    </row>
    <row r="226">
      <c r="A226" t="n">
        <v>222</v>
      </c>
      <c r="B226" s="22" t="n">
        <v>46290</v>
      </c>
      <c r="C226" t="inlineStr">
        <is>
          <t>GAMMA_BAL</t>
        </is>
      </c>
      <c r="D226" t="inlineStr">
        <is>
          <t>TRADE</t>
        </is>
      </c>
      <c r="E226" t="inlineStr">
        <is>
          <t>MARUTI</t>
        </is>
      </c>
      <c r="G226" s="19" t="n">
        <v>-3000</v>
      </c>
      <c r="H226" s="23" t="n">
        <v>1794.4023</v>
      </c>
      <c r="I226" s="24" t="n">
        <v>5383206.9</v>
      </c>
      <c r="K226" t="inlineStr">
        <is>
          <t>SELL 3000 MARUTI @ 1794.4023</t>
        </is>
      </c>
    </row>
    <row r="227">
      <c r="A227" t="n">
        <v>223</v>
      </c>
      <c r="B227" s="22" t="n">
        <v>46290</v>
      </c>
      <c r="C227" t="inlineStr">
        <is>
          <t>GAMMA_BAL</t>
        </is>
      </c>
      <c r="D227" t="inlineStr">
        <is>
          <t>TRADE</t>
        </is>
      </c>
      <c r="E227" t="inlineStr">
        <is>
          <t>INFY</t>
        </is>
      </c>
      <c r="G227" s="19" t="n">
        <v>-2000</v>
      </c>
      <c r="H227" s="23" t="n">
        <v>1794.0698</v>
      </c>
      <c r="I227" s="24" t="n">
        <v>3588139.6</v>
      </c>
      <c r="K227" t="inlineStr">
        <is>
          <t>SELL 2000 INFY @ 1794.0698</t>
        </is>
      </c>
    </row>
    <row r="228">
      <c r="A228" t="n">
        <v>224</v>
      </c>
      <c r="B228" s="22" t="n">
        <v>46293</v>
      </c>
      <c r="C228" t="inlineStr">
        <is>
          <t>ALPHA_EQ</t>
        </is>
      </c>
      <c r="D228" t="inlineStr">
        <is>
          <t>TRADE</t>
        </is>
      </c>
      <c r="E228" t="inlineStr">
        <is>
          <t>RELIANCE</t>
        </is>
      </c>
      <c r="G228" s="19" t="n">
        <v>-5000</v>
      </c>
      <c r="H228" s="23" t="n">
        <v>1520.911</v>
      </c>
      <c r="I228" s="24" t="n">
        <v>7604555</v>
      </c>
      <c r="K228" t="inlineStr">
        <is>
          <t>SELL 5000 RELIANCE @ 1520.911</t>
        </is>
      </c>
    </row>
    <row r="229">
      <c r="A229" t="n">
        <v>225</v>
      </c>
      <c r="B229" s="22" t="n">
        <v>46293</v>
      </c>
      <c r="C229" t="inlineStr">
        <is>
          <t>ALPHA_EQ</t>
        </is>
      </c>
      <c r="D229" t="inlineStr">
        <is>
          <t>TRADE</t>
        </is>
      </c>
      <c r="E229" t="inlineStr">
        <is>
          <t>ICICIBANK</t>
        </is>
      </c>
      <c r="G229" s="19" t="n">
        <v>-400</v>
      </c>
      <c r="H229" s="23" t="n">
        <v>1285.0699</v>
      </c>
      <c r="I229" s="24" t="n">
        <v>514027.96</v>
      </c>
      <c r="K229" t="inlineStr">
        <is>
          <t>SELL 400 ICICIBANK @ 1285.0699</t>
        </is>
      </c>
    </row>
    <row r="230">
      <c r="A230" t="n">
        <v>226</v>
      </c>
      <c r="B230" s="22" t="n">
        <v>46293</v>
      </c>
      <c r="C230" t="inlineStr">
        <is>
          <t>BETA_DEBT</t>
        </is>
      </c>
      <c r="D230" t="inlineStr">
        <is>
          <t>SUBSCRIPTION</t>
        </is>
      </c>
      <c r="E230" t="inlineStr">
        <is>
          <t>Ananya Gupta</t>
        </is>
      </c>
      <c r="F230" s="23" t="n">
        <v>21174.2138</v>
      </c>
      <c r="I230" s="24" t="n">
        <v>217903.52</v>
      </c>
      <c r="J230" s="18" t="n">
        <v>10.291</v>
      </c>
      <c r="K230" t="inlineStr">
        <is>
          <t>Subscription by Ananya Gupta (AANJG3456F)</t>
        </is>
      </c>
    </row>
    <row r="231">
      <c r="A231" t="n">
        <v>227</v>
      </c>
      <c r="B231" s="22" t="n">
        <v>46293</v>
      </c>
      <c r="C231" t="inlineStr">
        <is>
          <t>BETA_DEBT</t>
        </is>
      </c>
      <c r="D231" t="inlineStr">
        <is>
          <t>TRADE</t>
        </is>
      </c>
      <c r="E231" t="inlineStr">
        <is>
          <t>NCD-REL</t>
        </is>
      </c>
      <c r="G231" s="19" t="n">
        <v>100</v>
      </c>
      <c r="H231" s="23" t="n">
        <v>976.7581</v>
      </c>
      <c r="I231" s="24" t="n">
        <v>-97675.81</v>
      </c>
      <c r="K231" t="inlineStr">
        <is>
          <t>BUY 100 NCD-REL @ 976.7581</t>
        </is>
      </c>
    </row>
    <row r="232">
      <c r="A232" t="n">
        <v>228</v>
      </c>
      <c r="B232" s="22" t="n">
        <v>46293</v>
      </c>
      <c r="C232" t="inlineStr">
        <is>
          <t>BETA_DEBT</t>
        </is>
      </c>
      <c r="D232" t="inlineStr">
        <is>
          <t>TRADE</t>
        </is>
      </c>
      <c r="E232" t="inlineStr">
        <is>
          <t>SDL-MH-32</t>
        </is>
      </c>
      <c r="G232" s="19" t="n">
        <v>1500</v>
      </c>
      <c r="H232" s="23" t="n">
        <v>102.5166</v>
      </c>
      <c r="I232" s="24" t="n">
        <v>-153774.9</v>
      </c>
      <c r="K232" t="inlineStr">
        <is>
          <t>BUY 1500 SDL-MH-32 @ 102.5166</t>
        </is>
      </c>
    </row>
    <row r="233">
      <c r="A233" t="n">
        <v>229</v>
      </c>
      <c r="B233" s="22" t="n">
        <v>46293</v>
      </c>
      <c r="C233" t="inlineStr">
        <is>
          <t>GAMMA_BAL</t>
        </is>
      </c>
      <c r="D233" t="inlineStr">
        <is>
          <t>SUBSCRIPTION</t>
        </is>
      </c>
      <c r="E233" t="inlineStr">
        <is>
          <t>Vikram Reddy</t>
        </is>
      </c>
      <c r="F233" s="23" t="n">
        <v>15550.2924</v>
      </c>
      <c r="I233" s="24" t="n">
        <v>150013.03</v>
      </c>
      <c r="J233" s="18" t="n">
        <v>9.647</v>
      </c>
      <c r="K233" t="inlineStr">
        <is>
          <t>Subscription by Vikram Reddy (AVBRS7890E)</t>
        </is>
      </c>
    </row>
    <row r="234">
      <c r="A234" t="n">
        <v>230</v>
      </c>
      <c r="B234" s="22" t="n">
        <v>46293</v>
      </c>
      <c r="C234" t="inlineStr">
        <is>
          <t>GAMMA_BAL</t>
        </is>
      </c>
      <c r="D234" t="inlineStr">
        <is>
          <t>TRADE</t>
        </is>
      </c>
      <c r="E234" t="inlineStr">
        <is>
          <t>LT</t>
        </is>
      </c>
      <c r="G234" s="19" t="n">
        <v>-300</v>
      </c>
      <c r="H234" s="23" t="n">
        <v>2334.8591</v>
      </c>
      <c r="I234" s="24" t="n">
        <v>700457.73</v>
      </c>
      <c r="K234" t="inlineStr">
        <is>
          <t>SELL 300 LT @ 2334.8591</t>
        </is>
      </c>
    </row>
    <row r="235">
      <c r="A235" t="n">
        <v>231</v>
      </c>
      <c r="B235" s="22" t="n">
        <v>46293</v>
      </c>
      <c r="C235" t="inlineStr">
        <is>
          <t>GAMMA_BAL</t>
        </is>
      </c>
      <c r="D235" t="inlineStr">
        <is>
          <t>TRADE</t>
        </is>
      </c>
      <c r="E235" t="inlineStr">
        <is>
          <t>GOI7.26-36</t>
        </is>
      </c>
      <c r="G235" s="19" t="n">
        <v>-1000</v>
      </c>
      <c r="H235" s="23" t="n">
        <v>103.2403</v>
      </c>
      <c r="I235" s="24" t="n">
        <v>103240.3</v>
      </c>
      <c r="K235" t="inlineStr">
        <is>
          <t>SELL 1000 GOI7.26-36 @ 103.2403</t>
        </is>
      </c>
    </row>
    <row r="236">
      <c r="A236" t="n">
        <v>232</v>
      </c>
      <c r="B236" s="22" t="n">
        <v>46294</v>
      </c>
      <c r="C236" t="inlineStr">
        <is>
          <t>ALPHA_EQ</t>
        </is>
      </c>
      <c r="D236" t="inlineStr">
        <is>
          <t>SUBSCRIPTION</t>
        </is>
      </c>
      <c r="E236" t="inlineStr">
        <is>
          <t>Ananya Gupta</t>
        </is>
      </c>
      <c r="F236" s="23" t="n">
        <v>9839.569799999999</v>
      </c>
      <c r="I236" s="24" t="n">
        <v>95871.99000000001</v>
      </c>
      <c r="J236" s="18" t="n">
        <v>9.743499999999999</v>
      </c>
      <c r="K236" t="inlineStr">
        <is>
          <t>Subscription by Ananya Gupta (AANJG3456F)</t>
        </is>
      </c>
    </row>
    <row r="237">
      <c r="A237" t="n">
        <v>233</v>
      </c>
      <c r="B237" s="22" t="n">
        <v>46294</v>
      </c>
      <c r="C237" t="inlineStr">
        <is>
          <t>ALPHA_EQ</t>
        </is>
      </c>
      <c r="D237" t="inlineStr">
        <is>
          <t>TRADE</t>
        </is>
      </c>
      <c r="E237" t="inlineStr">
        <is>
          <t>HDFCBANK</t>
        </is>
      </c>
      <c r="G237" s="19" t="n">
        <v>-7000</v>
      </c>
      <c r="H237" s="23" t="n">
        <v>1700.5988</v>
      </c>
      <c r="I237" s="24" t="n">
        <v>11904191.6</v>
      </c>
      <c r="K237" t="inlineStr">
        <is>
          <t>SELL 7000 HDFCBANK @ 1700.5988</t>
        </is>
      </c>
    </row>
    <row r="238">
      <c r="A238" t="n">
        <v>234</v>
      </c>
      <c r="B238" s="22" t="n">
        <v>46294</v>
      </c>
      <c r="C238" t="inlineStr">
        <is>
          <t>ALPHA_EQ</t>
        </is>
      </c>
      <c r="D238" t="inlineStr">
        <is>
          <t>TRADE</t>
        </is>
      </c>
      <c r="E238" t="inlineStr">
        <is>
          <t>ITC</t>
        </is>
      </c>
      <c r="G238" s="19" t="n">
        <v>-3000</v>
      </c>
      <c r="H238" s="23" t="n">
        <v>478.3137</v>
      </c>
      <c r="I238" s="24" t="n">
        <v>1434941.1</v>
      </c>
      <c r="K238" t="inlineStr">
        <is>
          <t>SELL 3000 ITC @ 478.3137</t>
        </is>
      </c>
    </row>
    <row r="239">
      <c r="A239" t="n">
        <v>235</v>
      </c>
      <c r="B239" s="22" t="n">
        <v>46294</v>
      </c>
      <c r="C239" t="inlineStr">
        <is>
          <t>BETA_DEBT</t>
        </is>
      </c>
      <c r="D239" t="inlineStr">
        <is>
          <t>REDEMPTION</t>
        </is>
      </c>
      <c r="E239" t="inlineStr">
        <is>
          <t>Vikram Reddy</t>
        </is>
      </c>
      <c r="F239" s="23" t="n">
        <v>-13497.4924</v>
      </c>
      <c r="I239" s="24" t="n">
        <v>-139502.63</v>
      </c>
      <c r="J239" s="18" t="n">
        <v>10.3354</v>
      </c>
      <c r="K239" t="inlineStr">
        <is>
          <t>Redemption by Vikram Reddy (AVBRS7890E)</t>
        </is>
      </c>
    </row>
    <row r="240">
      <c r="A240" t="n">
        <v>236</v>
      </c>
      <c r="B240" s="22" t="n">
        <v>46294</v>
      </c>
      <c r="C240" t="inlineStr">
        <is>
          <t>BETA_DEBT</t>
        </is>
      </c>
      <c r="D240" t="inlineStr">
        <is>
          <t>TRADE</t>
        </is>
      </c>
      <c r="E240" t="inlineStr">
        <is>
          <t>GOI7.26-36</t>
        </is>
      </c>
      <c r="G240" s="19" t="n">
        <v>-700</v>
      </c>
      <c r="H240" s="23" t="n">
        <v>102.7902</v>
      </c>
      <c r="I240" s="24" t="n">
        <v>71953.14</v>
      </c>
      <c r="K240" t="inlineStr">
        <is>
          <t>SELL 700 GOI7.26-36 @ 102.7902</t>
        </is>
      </c>
    </row>
    <row r="241">
      <c r="A241" t="n">
        <v>237</v>
      </c>
      <c r="B241" s="22" t="n">
        <v>46294</v>
      </c>
      <c r="C241" t="inlineStr">
        <is>
          <t>BETA_DEBT</t>
        </is>
      </c>
      <c r="D241" t="inlineStr">
        <is>
          <t>TRADE</t>
        </is>
      </c>
      <c r="E241" t="inlineStr">
        <is>
          <t>GOI8.2-33</t>
        </is>
      </c>
      <c r="G241" s="19" t="n">
        <v>-1000</v>
      </c>
      <c r="H241" s="23" t="n">
        <v>109.5293</v>
      </c>
      <c r="I241" s="24" t="n">
        <v>109529.3</v>
      </c>
      <c r="K241" t="inlineStr">
        <is>
          <t>SELL 1000 GOI8.2-33 @ 109.5293</t>
        </is>
      </c>
    </row>
    <row r="242">
      <c r="A242" t="n">
        <v>238</v>
      </c>
      <c r="B242" s="22" t="n">
        <v>46294</v>
      </c>
      <c r="C242" t="inlineStr">
        <is>
          <t>BETA_DEBT</t>
        </is>
      </c>
      <c r="D242" t="inlineStr">
        <is>
          <t>TRADE</t>
        </is>
      </c>
      <c r="E242" t="inlineStr">
        <is>
          <t>CP-TATA</t>
        </is>
      </c>
      <c r="G242" s="19" t="n">
        <v>-300</v>
      </c>
      <c r="H242" s="23" t="n">
        <v>100.3522</v>
      </c>
      <c r="I242" s="24" t="n">
        <v>30105.66</v>
      </c>
      <c r="K242" t="inlineStr">
        <is>
          <t>SELL 300 CP-TATA @ 100.3522</t>
        </is>
      </c>
    </row>
    <row r="243">
      <c r="A243" t="n">
        <v>239</v>
      </c>
      <c r="B243" s="22" t="n">
        <v>46294</v>
      </c>
      <c r="C243" t="inlineStr">
        <is>
          <t>GAMMA_BAL</t>
        </is>
      </c>
      <c r="D243" t="inlineStr">
        <is>
          <t>SUBSCRIPTION</t>
        </is>
      </c>
      <c r="E243" t="inlineStr">
        <is>
          <t>Rahul Mehta</t>
        </is>
      </c>
      <c r="F243" s="23" t="n">
        <v>30928.9181</v>
      </c>
      <c r="I243" s="24" t="n">
        <v>298683.61</v>
      </c>
      <c r="J243" s="18" t="n">
        <v>9.6571</v>
      </c>
      <c r="K243" t="inlineStr">
        <is>
          <t>Subscription by Rahul Mehta (ACARM6789C)</t>
        </is>
      </c>
    </row>
    <row r="244">
      <c r="A244" t="n">
        <v>240</v>
      </c>
      <c r="B244" s="22" t="n">
        <v>46294</v>
      </c>
      <c r="C244" t="inlineStr">
        <is>
          <t>GAMMA_BAL</t>
        </is>
      </c>
      <c r="D244" t="inlineStr">
        <is>
          <t>TRADE</t>
        </is>
      </c>
      <c r="E244" t="inlineStr">
        <is>
          <t>INFY</t>
        </is>
      </c>
      <c r="G244" s="19" t="n">
        <v>-800</v>
      </c>
      <c r="H244" s="23" t="n">
        <v>1857.1866</v>
      </c>
      <c r="I244" s="24" t="n">
        <v>1485749.28</v>
      </c>
      <c r="K244" t="inlineStr">
        <is>
          <t>SELL 800 INFY @ 1857.1866</t>
        </is>
      </c>
    </row>
    <row r="245">
      <c r="A245" t="n">
        <v>241</v>
      </c>
      <c r="B245" s="22" t="n">
        <v>46295</v>
      </c>
      <c r="C245" t="inlineStr">
        <is>
          <t>ALPHA_EQ</t>
        </is>
      </c>
      <c r="D245" t="inlineStr">
        <is>
          <t>SUBSCRIPTION</t>
        </is>
      </c>
      <c r="E245" t="inlineStr">
        <is>
          <t>Meera Joshi</t>
        </is>
      </c>
      <c r="F245" s="23" t="n">
        <v>42601.6727</v>
      </c>
      <c r="I245" s="24" t="n">
        <v>415127.37</v>
      </c>
      <c r="J245" s="18" t="n">
        <v>9.744400000000001</v>
      </c>
      <c r="K245" t="inlineStr">
        <is>
          <t>Subscription by Meera Joshi (MMJMJ7890K)</t>
        </is>
      </c>
    </row>
    <row r="246">
      <c r="A246" t="n">
        <v>242</v>
      </c>
      <c r="B246" s="22" t="n">
        <v>46295</v>
      </c>
      <c r="C246" t="inlineStr">
        <is>
          <t>ALPHA_EQ</t>
        </is>
      </c>
      <c r="D246" t="inlineStr">
        <is>
          <t>TRADE</t>
        </is>
      </c>
      <c r="E246" t="inlineStr">
        <is>
          <t>ICICIBANK</t>
        </is>
      </c>
      <c r="G246" s="19" t="n">
        <v>800</v>
      </c>
      <c r="H246" s="23" t="n">
        <v>1304.1745</v>
      </c>
      <c r="I246" s="24" t="n">
        <v>-1043339.6</v>
      </c>
      <c r="K246" t="inlineStr">
        <is>
          <t>BUY 800 ICICIBANK @ 1304.1745</t>
        </is>
      </c>
    </row>
    <row r="247">
      <c r="A247" t="n">
        <v>243</v>
      </c>
      <c r="B247" s="22" t="n">
        <v>46295</v>
      </c>
      <c r="C247" t="inlineStr">
        <is>
          <t>ALPHA_EQ</t>
        </is>
      </c>
      <c r="D247" t="inlineStr">
        <is>
          <t>TRADE</t>
        </is>
      </c>
      <c r="E247" t="inlineStr">
        <is>
          <t>INFY</t>
        </is>
      </c>
      <c r="G247" s="19" t="n">
        <v>200</v>
      </c>
      <c r="H247" s="23" t="n">
        <v>1882.3827</v>
      </c>
      <c r="I247" s="24" t="n">
        <v>-376476.54</v>
      </c>
      <c r="K247" t="inlineStr">
        <is>
          <t>BUY 200 INFY @ 1882.3827</t>
        </is>
      </c>
    </row>
    <row r="248">
      <c r="A248" t="n">
        <v>244</v>
      </c>
      <c r="B248" s="22" t="n">
        <v>46295</v>
      </c>
      <c r="C248" t="inlineStr">
        <is>
          <t>ALPHA_EQ</t>
        </is>
      </c>
      <c r="D248" t="inlineStr">
        <is>
          <t>TRADE</t>
        </is>
      </c>
      <c r="E248" t="inlineStr">
        <is>
          <t>RELIANCE</t>
        </is>
      </c>
      <c r="G248" s="19" t="n">
        <v>-700</v>
      </c>
      <c r="H248" s="23" t="n">
        <v>1504.4889</v>
      </c>
      <c r="I248" s="24" t="n">
        <v>1053142.23</v>
      </c>
      <c r="K248" t="inlineStr">
        <is>
          <t>SELL 700 RELIANCE @ 1504.4889</t>
        </is>
      </c>
    </row>
    <row r="249">
      <c r="A249" t="n">
        <v>245</v>
      </c>
      <c r="B249" s="22" t="n">
        <v>46295</v>
      </c>
      <c r="C249" t="inlineStr">
        <is>
          <t>BETA_DEBT</t>
        </is>
      </c>
      <c r="D249" t="inlineStr">
        <is>
          <t>SUBSCRIPTION</t>
        </is>
      </c>
      <c r="E249" t="inlineStr">
        <is>
          <t>Ananya Gupta</t>
        </is>
      </c>
      <c r="F249" s="23" t="n">
        <v>42621.1074</v>
      </c>
      <c r="I249" s="24" t="n">
        <v>441325.03</v>
      </c>
      <c r="J249" s="18" t="n">
        <v>10.3546</v>
      </c>
      <c r="K249" t="inlineStr">
        <is>
          <t>Subscription by Ananya Gupta (AANJG3456F)</t>
        </is>
      </c>
    </row>
    <row r="250">
      <c r="A250" t="n">
        <v>246</v>
      </c>
      <c r="B250" s="22" t="n">
        <v>46295</v>
      </c>
      <c r="C250" t="inlineStr">
        <is>
          <t>BETA_DEBT</t>
        </is>
      </c>
      <c r="D250" t="inlineStr">
        <is>
          <t>TRADE</t>
        </is>
      </c>
      <c r="E250" t="inlineStr">
        <is>
          <t>NCD-REL</t>
        </is>
      </c>
      <c r="G250" s="19" t="n">
        <v>-1200</v>
      </c>
      <c r="H250" s="23" t="n">
        <v>981.3765</v>
      </c>
      <c r="I250" s="24" t="n">
        <v>1177651.8</v>
      </c>
      <c r="K250" t="inlineStr">
        <is>
          <t>SELL 1200 NCD-REL @ 981.3765</t>
        </is>
      </c>
    </row>
    <row r="251">
      <c r="A251" t="n">
        <v>247</v>
      </c>
      <c r="B251" s="22" t="n">
        <v>46295</v>
      </c>
      <c r="C251" t="inlineStr">
        <is>
          <t>GAMMA_BAL</t>
        </is>
      </c>
      <c r="D251" t="inlineStr">
        <is>
          <t>SUBSCRIPTION</t>
        </is>
      </c>
      <c r="E251" t="inlineStr">
        <is>
          <t>Vikram Reddy</t>
        </is>
      </c>
      <c r="F251" s="23" t="n">
        <v>18071.3095</v>
      </c>
      <c r="I251" s="24" t="n">
        <v>174076.78</v>
      </c>
      <c r="J251" s="18" t="n">
        <v>9.6328</v>
      </c>
      <c r="K251" t="inlineStr">
        <is>
          <t>Subscription by Vikram Reddy (AVBRS7890E)</t>
        </is>
      </c>
    </row>
    <row r="252">
      <c r="A252" t="n">
        <v>248</v>
      </c>
      <c r="B252" s="22" t="n">
        <v>46295</v>
      </c>
      <c r="C252" t="inlineStr">
        <is>
          <t>GAMMA_BAL</t>
        </is>
      </c>
      <c r="D252" t="inlineStr">
        <is>
          <t>TRADE</t>
        </is>
      </c>
      <c r="E252" t="inlineStr">
        <is>
          <t>HDFCBANK</t>
        </is>
      </c>
      <c r="G252" s="19" t="n">
        <v>-8000</v>
      </c>
      <c r="H252" s="23" t="n">
        <v>1711.0314</v>
      </c>
      <c r="I252" s="24" t="n">
        <v>13688251.2</v>
      </c>
      <c r="K252" t="inlineStr">
        <is>
          <t>SELL 8000 HDFCBANK @ 1711.0314</t>
        </is>
      </c>
    </row>
    <row r="253">
      <c r="A253" t="n">
        <v>249</v>
      </c>
      <c r="B253" s="22" t="n">
        <v>46296</v>
      </c>
      <c r="C253" t="inlineStr">
        <is>
          <t>ALPHA_EQ</t>
        </is>
      </c>
      <c r="D253" t="inlineStr">
        <is>
          <t>REDEMPTION</t>
        </is>
      </c>
      <c r="E253" t="inlineStr">
        <is>
          <t>Karan Singh</t>
        </is>
      </c>
      <c r="F253" s="23" t="n">
        <v>-20529.6349</v>
      </c>
      <c r="I253" s="24" t="n">
        <v>-202379.9</v>
      </c>
      <c r="J253" s="18" t="n">
        <v>9.857900000000001</v>
      </c>
      <c r="K253" t="inlineStr">
        <is>
          <t>Redemption by Karan Singh (AKLSG4567G)</t>
        </is>
      </c>
    </row>
    <row r="254">
      <c r="A254" t="n">
        <v>250</v>
      </c>
      <c r="B254" s="22" t="n">
        <v>46296</v>
      </c>
      <c r="C254" t="inlineStr">
        <is>
          <t>ALPHA_EQ</t>
        </is>
      </c>
      <c r="D254" t="inlineStr">
        <is>
          <t>SUBSCRIPTION</t>
        </is>
      </c>
      <c r="E254" t="inlineStr">
        <is>
          <t>Vikram Reddy</t>
        </is>
      </c>
      <c r="F254" s="23" t="n">
        <v>40740.0582</v>
      </c>
      <c r="I254" s="24" t="n">
        <v>401613.04</v>
      </c>
      <c r="J254" s="18" t="n">
        <v>9.857900000000001</v>
      </c>
      <c r="K254" t="inlineStr">
        <is>
          <t>Subscription by Vikram Reddy (AVBRS7890E)</t>
        </is>
      </c>
    </row>
    <row r="255">
      <c r="A255" t="n">
        <v>251</v>
      </c>
      <c r="B255" s="22" t="n">
        <v>46296</v>
      </c>
      <c r="C255" t="inlineStr">
        <is>
          <t>ALPHA_EQ</t>
        </is>
      </c>
      <c r="D255" t="inlineStr">
        <is>
          <t>TRADE</t>
        </is>
      </c>
      <c r="E255" t="inlineStr">
        <is>
          <t>INFY</t>
        </is>
      </c>
      <c r="G255" s="19" t="n">
        <v>1000</v>
      </c>
      <c r="H255" s="23" t="n">
        <v>1904.6668</v>
      </c>
      <c r="I255" s="24" t="n">
        <v>-1904666.8</v>
      </c>
      <c r="K255" t="inlineStr">
        <is>
          <t>BUY 1000 INFY @ 1904.6668</t>
        </is>
      </c>
    </row>
    <row r="256">
      <c r="A256" t="n">
        <v>252</v>
      </c>
      <c r="B256" s="22" t="n">
        <v>46296</v>
      </c>
      <c r="C256" t="inlineStr">
        <is>
          <t>ALPHA_EQ</t>
        </is>
      </c>
      <c r="D256" t="inlineStr">
        <is>
          <t>TRADE</t>
        </is>
      </c>
      <c r="E256" t="inlineStr">
        <is>
          <t>HDFCBANK</t>
        </is>
      </c>
      <c r="G256" s="19" t="n">
        <v>-100</v>
      </c>
      <c r="H256" s="23" t="n">
        <v>1738.5786</v>
      </c>
      <c r="I256" s="24" t="n">
        <v>173857.86</v>
      </c>
      <c r="K256" t="inlineStr">
        <is>
          <t>SELL 100 HDFCBANK @ 1738.5786</t>
        </is>
      </c>
    </row>
    <row r="257">
      <c r="A257" t="n">
        <v>253</v>
      </c>
      <c r="B257" s="22" t="n">
        <v>46296</v>
      </c>
      <c r="C257" t="inlineStr">
        <is>
          <t>ALPHA_EQ</t>
        </is>
      </c>
      <c r="D257" t="inlineStr">
        <is>
          <t>TRADE</t>
        </is>
      </c>
      <c r="E257" t="inlineStr">
        <is>
          <t>ICICIBANK</t>
        </is>
      </c>
      <c r="G257" s="19" t="n">
        <v>4000</v>
      </c>
      <c r="H257" s="23" t="n">
        <v>1325.6121</v>
      </c>
      <c r="I257" s="24" t="n">
        <v>-5302448.4</v>
      </c>
      <c r="K257" t="inlineStr">
        <is>
          <t>BUY 4000 ICICIBANK @ 1325.6121</t>
        </is>
      </c>
    </row>
    <row r="258">
      <c r="A258" t="n">
        <v>254</v>
      </c>
      <c r="B258" s="22" t="n">
        <v>46296</v>
      </c>
      <c r="C258" t="inlineStr">
        <is>
          <t>BETA_DEBT</t>
        </is>
      </c>
      <c r="D258" t="inlineStr">
        <is>
          <t>TRADE</t>
        </is>
      </c>
      <c r="E258" t="inlineStr">
        <is>
          <t>GOI8.2-33</t>
        </is>
      </c>
      <c r="G258" s="19" t="n">
        <v>-100</v>
      </c>
      <c r="H258" s="23" t="n">
        <v>109.2471</v>
      </c>
      <c r="I258" s="24" t="n">
        <v>10924.71</v>
      </c>
      <c r="K258" t="inlineStr">
        <is>
          <t>SELL 100 GOI8.2-33 @ 109.2471</t>
        </is>
      </c>
    </row>
    <row r="259">
      <c r="A259" t="n">
        <v>255</v>
      </c>
      <c r="B259" s="22" t="n">
        <v>46296</v>
      </c>
      <c r="C259" t="inlineStr">
        <is>
          <t>BETA_DEBT</t>
        </is>
      </c>
      <c r="D259" t="inlineStr">
        <is>
          <t>TRADE</t>
        </is>
      </c>
      <c r="E259" t="inlineStr">
        <is>
          <t>GOI8.2-33</t>
        </is>
      </c>
      <c r="G259" s="19" t="n">
        <v>-2000</v>
      </c>
      <c r="H259" s="23" t="n">
        <v>109.1372</v>
      </c>
      <c r="I259" s="24" t="n">
        <v>218274.4</v>
      </c>
      <c r="K259" t="inlineStr">
        <is>
          <t>SELL 2000 GOI8.2-33 @ 109.1372</t>
        </is>
      </c>
    </row>
    <row r="260">
      <c r="A260" t="n">
        <v>256</v>
      </c>
      <c r="B260" s="22" t="n">
        <v>46296</v>
      </c>
      <c r="C260" t="inlineStr">
        <is>
          <t>GAMMA_BAL</t>
        </is>
      </c>
      <c r="D260" t="inlineStr">
        <is>
          <t>REDEMPTION</t>
        </is>
      </c>
      <c r="E260" t="inlineStr">
        <is>
          <t>Ananya Gupta</t>
        </is>
      </c>
      <c r="F260" s="23" t="n">
        <v>-8105.7787</v>
      </c>
      <c r="I260" s="24" t="n">
        <v>-77691.53</v>
      </c>
      <c r="J260" s="18" t="n">
        <v>9.5847</v>
      </c>
      <c r="K260" t="inlineStr">
        <is>
          <t>Redemption by Ananya Gupta (AANJG3456F)</t>
        </is>
      </c>
    </row>
    <row r="261">
      <c r="A261" t="n">
        <v>257</v>
      </c>
      <c r="B261" s="22" t="n">
        <v>46296</v>
      </c>
      <c r="C261" t="inlineStr">
        <is>
          <t>GAMMA_BAL</t>
        </is>
      </c>
      <c r="D261" t="inlineStr">
        <is>
          <t>SUBSCRIPTION</t>
        </is>
      </c>
      <c r="E261" t="inlineStr">
        <is>
          <t>Priya Nair</t>
        </is>
      </c>
      <c r="F261" s="23" t="n">
        <v>23923.2453</v>
      </c>
      <c r="I261" s="24" t="n">
        <v>229297.35</v>
      </c>
      <c r="J261" s="18" t="n">
        <v>9.5847</v>
      </c>
      <c r="K261" t="inlineStr">
        <is>
          <t>Subscription by Priya Nair (ABCPN5678B)</t>
        </is>
      </c>
    </row>
    <row r="262">
      <c r="A262" t="n">
        <v>258</v>
      </c>
      <c r="B262" s="22" t="n">
        <v>46296</v>
      </c>
      <c r="C262" t="inlineStr">
        <is>
          <t>GAMMA_BAL</t>
        </is>
      </c>
      <c r="D262" t="inlineStr">
        <is>
          <t>TRADE</t>
        </is>
      </c>
      <c r="E262" t="inlineStr">
        <is>
          <t>LT</t>
        </is>
      </c>
      <c r="G262" s="19" t="n">
        <v>-500</v>
      </c>
      <c r="H262" s="23" t="n">
        <v>2348.8796</v>
      </c>
      <c r="I262" s="24" t="n">
        <v>1174439.8</v>
      </c>
      <c r="K262" t="inlineStr">
        <is>
          <t>SELL 500 LT @ 2348.8796</t>
        </is>
      </c>
    </row>
    <row r="263">
      <c r="A263" t="n">
        <v>259</v>
      </c>
      <c r="B263" s="22" t="n">
        <v>46296</v>
      </c>
      <c r="C263" t="inlineStr">
        <is>
          <t>GAMMA_BAL</t>
        </is>
      </c>
      <c r="D263" t="inlineStr">
        <is>
          <t>TRADE</t>
        </is>
      </c>
      <c r="E263" t="inlineStr">
        <is>
          <t>INFY</t>
        </is>
      </c>
      <c r="G263" s="19" t="n">
        <v>-400</v>
      </c>
      <c r="H263" s="23" t="n">
        <v>1903.7306</v>
      </c>
      <c r="I263" s="24" t="n">
        <v>761492.24</v>
      </c>
      <c r="K263" t="inlineStr">
        <is>
          <t>SELL 400 INFY @ 1903.7306</t>
        </is>
      </c>
    </row>
    <row r="264">
      <c r="A264" t="n">
        <v>260</v>
      </c>
      <c r="B264" s="22" t="n">
        <v>46297</v>
      </c>
      <c r="C264" t="inlineStr">
        <is>
          <t>ALPHA_EQ</t>
        </is>
      </c>
      <c r="D264" t="inlineStr">
        <is>
          <t>REDEMPTION</t>
        </is>
      </c>
      <c r="E264" t="inlineStr">
        <is>
          <t>Rahul Mehta</t>
        </is>
      </c>
      <c r="F264" s="23" t="n">
        <v>-11700.547</v>
      </c>
      <c r="I264" s="24" t="n">
        <v>-114108.43</v>
      </c>
      <c r="J264" s="18" t="n">
        <v>9.7524</v>
      </c>
      <c r="K264" t="inlineStr">
        <is>
          <t>Redemption by Rahul Mehta (ACARM6789C)</t>
        </is>
      </c>
    </row>
    <row r="265">
      <c r="A265" t="n">
        <v>261</v>
      </c>
      <c r="B265" s="22" t="n">
        <v>46297</v>
      </c>
      <c r="C265" t="inlineStr">
        <is>
          <t>ALPHA_EQ</t>
        </is>
      </c>
      <c r="D265" t="inlineStr">
        <is>
          <t>SUBSCRIPTION</t>
        </is>
      </c>
      <c r="E265" t="inlineStr">
        <is>
          <t>Rahul Mehta</t>
        </is>
      </c>
      <c r="F265" s="23" t="n">
        <v>49940.2722</v>
      </c>
      <c r="I265" s="24" t="n">
        <v>487037.57</v>
      </c>
      <c r="J265" s="18" t="n">
        <v>9.7524</v>
      </c>
      <c r="K265" t="inlineStr">
        <is>
          <t>Subscription by Rahul Mehta (ACARM6789C)</t>
        </is>
      </c>
    </row>
    <row r="266">
      <c r="A266" t="n">
        <v>262</v>
      </c>
      <c r="B266" s="22" t="n">
        <v>46297</v>
      </c>
      <c r="C266" t="inlineStr">
        <is>
          <t>ALPHA_EQ</t>
        </is>
      </c>
      <c r="D266" t="inlineStr">
        <is>
          <t>TRADE</t>
        </is>
      </c>
      <c r="E266" t="inlineStr">
        <is>
          <t>RELIANCE</t>
        </is>
      </c>
      <c r="G266" s="19" t="n">
        <v>-7000</v>
      </c>
      <c r="H266" s="23" t="n">
        <v>1513.0143</v>
      </c>
      <c r="I266" s="24" t="n">
        <v>10591100.1</v>
      </c>
      <c r="K266" t="inlineStr">
        <is>
          <t>SELL 7000 RELIANCE @ 1513.0143</t>
        </is>
      </c>
    </row>
    <row r="267">
      <c r="A267" t="n">
        <v>263</v>
      </c>
      <c r="B267" s="22" t="n">
        <v>46297</v>
      </c>
      <c r="C267" t="inlineStr">
        <is>
          <t>ALPHA_EQ</t>
        </is>
      </c>
      <c r="D267" t="inlineStr">
        <is>
          <t>TRADE</t>
        </is>
      </c>
      <c r="E267" t="inlineStr">
        <is>
          <t>INFY</t>
        </is>
      </c>
      <c r="G267" s="19" t="n">
        <v>8000</v>
      </c>
      <c r="H267" s="23" t="n">
        <v>1877.6957</v>
      </c>
      <c r="I267" s="24" t="n">
        <v>-15021565.6</v>
      </c>
      <c r="K267" t="inlineStr">
        <is>
          <t>BUY 8000 INFY @ 1877.6957</t>
        </is>
      </c>
    </row>
    <row r="268">
      <c r="A268" t="n">
        <v>264</v>
      </c>
      <c r="B268" s="22" t="n">
        <v>46297</v>
      </c>
      <c r="C268" t="inlineStr">
        <is>
          <t>BETA_DEBT</t>
        </is>
      </c>
      <c r="D268" t="inlineStr">
        <is>
          <t>REDEMPTION</t>
        </is>
      </c>
      <c r="E268" t="inlineStr">
        <is>
          <t>Meera Joshi</t>
        </is>
      </c>
      <c r="F268" s="23" t="n">
        <v>-40813.5373</v>
      </c>
      <c r="I268" s="24" t="n">
        <v>-425783.97</v>
      </c>
      <c r="J268" s="18" t="n">
        <v>10.4324</v>
      </c>
      <c r="K268" t="inlineStr">
        <is>
          <t>Redemption by Meera Joshi (MMJMJ7890K)</t>
        </is>
      </c>
    </row>
    <row r="269">
      <c r="A269" t="n">
        <v>265</v>
      </c>
      <c r="B269" s="22" t="n">
        <v>46297</v>
      </c>
      <c r="C269" t="inlineStr">
        <is>
          <t>BETA_DEBT</t>
        </is>
      </c>
      <c r="D269" t="inlineStr">
        <is>
          <t>TRADE</t>
        </is>
      </c>
      <c r="E269" t="inlineStr">
        <is>
          <t>NCD-REL</t>
        </is>
      </c>
      <c r="G269" s="19" t="n">
        <v>-4000</v>
      </c>
      <c r="H269" s="23" t="n">
        <v>979.3253</v>
      </c>
      <c r="I269" s="24" t="n">
        <v>3917301.2</v>
      </c>
      <c r="K269" t="inlineStr">
        <is>
          <t>SELL 4000 NCD-REL @ 979.3253</t>
        </is>
      </c>
    </row>
    <row r="270">
      <c r="A270" t="n">
        <v>266</v>
      </c>
      <c r="B270" s="22" t="n">
        <v>46297</v>
      </c>
      <c r="C270" t="inlineStr">
        <is>
          <t>BETA_DEBT</t>
        </is>
      </c>
      <c r="D270" t="inlineStr">
        <is>
          <t>TRADE</t>
        </is>
      </c>
      <c r="E270" t="inlineStr">
        <is>
          <t>CP-TATA</t>
        </is>
      </c>
      <c r="G270" s="19" t="n">
        <v>-2000</v>
      </c>
      <c r="H270" s="23" t="n">
        <v>100.5408</v>
      </c>
      <c r="I270" s="24" t="n">
        <v>201081.6</v>
      </c>
      <c r="K270" t="inlineStr">
        <is>
          <t>SELL 2000 CP-TATA @ 100.5408</t>
        </is>
      </c>
    </row>
    <row r="271">
      <c r="A271" t="n">
        <v>267</v>
      </c>
      <c r="B271" s="22" t="n">
        <v>46297</v>
      </c>
      <c r="C271" t="inlineStr">
        <is>
          <t>GAMMA_BAL</t>
        </is>
      </c>
      <c r="D271" t="inlineStr">
        <is>
          <t>REDEMPTION</t>
        </is>
      </c>
      <c r="E271" t="inlineStr">
        <is>
          <t>Aarav Sharma</t>
        </is>
      </c>
      <c r="F271" s="23" t="n">
        <v>-32548.9303</v>
      </c>
      <c r="I271" s="24" t="n">
        <v>-314031.11</v>
      </c>
      <c r="J271" s="18" t="n">
        <v>9.648</v>
      </c>
      <c r="K271" t="inlineStr">
        <is>
          <t>Redemption by Aarav Sharma (AAAPS1234A)</t>
        </is>
      </c>
    </row>
    <row r="272">
      <c r="A272" t="n">
        <v>268</v>
      </c>
      <c r="B272" s="22" t="n">
        <v>46297</v>
      </c>
      <c r="C272" t="inlineStr">
        <is>
          <t>GAMMA_BAL</t>
        </is>
      </c>
      <c r="D272" t="inlineStr">
        <is>
          <t>SUBSCRIPTION</t>
        </is>
      </c>
      <c r="E272" t="inlineStr">
        <is>
          <t>Meera Joshi</t>
        </is>
      </c>
      <c r="F272" s="23" t="n">
        <v>34851.5597</v>
      </c>
      <c r="I272" s="24" t="n">
        <v>336246.81</v>
      </c>
      <c r="J272" s="18" t="n">
        <v>9.648</v>
      </c>
      <c r="K272" t="inlineStr">
        <is>
          <t>Subscription by Meera Joshi (MMJMJ7890K)</t>
        </is>
      </c>
    </row>
    <row r="273">
      <c r="A273" t="n">
        <v>269</v>
      </c>
      <c r="B273" s="22" t="n">
        <v>46297</v>
      </c>
      <c r="C273" t="inlineStr">
        <is>
          <t>GAMMA_BAL</t>
        </is>
      </c>
      <c r="D273" t="inlineStr">
        <is>
          <t>TRADE</t>
        </is>
      </c>
      <c r="E273" t="inlineStr">
        <is>
          <t>INFY</t>
        </is>
      </c>
      <c r="G273" s="19" t="n">
        <v>1000</v>
      </c>
      <c r="H273" s="23" t="n">
        <v>1876.7446</v>
      </c>
      <c r="I273" s="24" t="n">
        <v>-1876744.6</v>
      </c>
      <c r="K273" t="inlineStr">
        <is>
          <t>BUY 1000 INFY @ 1876.7446</t>
        </is>
      </c>
    </row>
    <row r="274">
      <c r="A274" t="n">
        <v>270</v>
      </c>
      <c r="B274" s="22" t="n">
        <v>46297</v>
      </c>
      <c r="C274" t="inlineStr">
        <is>
          <t>GAMMA_BAL</t>
        </is>
      </c>
      <c r="D274" t="inlineStr">
        <is>
          <t>TRADE</t>
        </is>
      </c>
      <c r="E274" t="inlineStr">
        <is>
          <t>MARUTI</t>
        </is>
      </c>
      <c r="G274" s="19" t="n">
        <v>3000</v>
      </c>
      <c r="H274" s="23" t="n">
        <v>1706.3823</v>
      </c>
      <c r="I274" s="24" t="n">
        <v>-5119146.9</v>
      </c>
      <c r="K274" t="inlineStr">
        <is>
          <t>BUY 3000 MARUTI @ 1706.3823</t>
        </is>
      </c>
    </row>
    <row r="275">
      <c r="A275" t="n">
        <v>271</v>
      </c>
      <c r="B275" s="22" t="n">
        <v>46297</v>
      </c>
      <c r="C275" t="inlineStr">
        <is>
          <t>GAMMA_BAL</t>
        </is>
      </c>
      <c r="D275" t="inlineStr">
        <is>
          <t>TRADE</t>
        </is>
      </c>
      <c r="E275" t="inlineStr">
        <is>
          <t>SDL-MH-32</t>
        </is>
      </c>
      <c r="G275" s="19" t="n">
        <v>-800</v>
      </c>
      <c r="H275" s="23" t="n">
        <v>103.8684</v>
      </c>
      <c r="I275" s="24" t="n">
        <v>83094.72</v>
      </c>
      <c r="K275" t="inlineStr">
        <is>
          <t>SELL 800 SDL-MH-32 @ 103.8684</t>
        </is>
      </c>
    </row>
    <row r="276">
      <c r="A276" t="n">
        <v>272</v>
      </c>
      <c r="B276" s="22" t="n">
        <v>46300</v>
      </c>
      <c r="C276" t="inlineStr">
        <is>
          <t>ALPHA_EQ</t>
        </is>
      </c>
      <c r="D276" t="inlineStr">
        <is>
          <t>SUBSCRIPTION</t>
        </is>
      </c>
      <c r="E276" t="inlineStr">
        <is>
          <t>Karan Singh</t>
        </is>
      </c>
      <c r="F276" s="23" t="n">
        <v>47588.2207</v>
      </c>
      <c r="I276" s="24" t="n">
        <v>467021.97</v>
      </c>
      <c r="J276" s="18" t="n">
        <v>9.813800000000001</v>
      </c>
      <c r="K276" t="inlineStr">
        <is>
          <t>Subscription by Karan Singh (AKLSG4567G)</t>
        </is>
      </c>
    </row>
    <row r="277">
      <c r="A277" t="n">
        <v>273</v>
      </c>
      <c r="B277" s="22" t="n">
        <v>46300</v>
      </c>
      <c r="C277" t="inlineStr">
        <is>
          <t>ALPHA_EQ</t>
        </is>
      </c>
      <c r="D277" t="inlineStr">
        <is>
          <t>TRADE</t>
        </is>
      </c>
      <c r="E277" t="inlineStr">
        <is>
          <t>ITC</t>
        </is>
      </c>
      <c r="G277" s="19" t="n">
        <v>6000</v>
      </c>
      <c r="H277" s="23" t="n">
        <v>474.8746</v>
      </c>
      <c r="I277" s="24" t="n">
        <v>-2849247.6</v>
      </c>
      <c r="K277" t="inlineStr">
        <is>
          <t>BUY 6000 ITC @ 474.8746</t>
        </is>
      </c>
    </row>
    <row r="278">
      <c r="A278" t="n">
        <v>274</v>
      </c>
      <c r="B278" s="22" t="n">
        <v>46300</v>
      </c>
      <c r="C278" t="inlineStr">
        <is>
          <t>BETA_DEBT</t>
        </is>
      </c>
      <c r="D278" t="inlineStr">
        <is>
          <t>SUBSCRIPTION</t>
        </is>
      </c>
      <c r="E278" t="inlineStr">
        <is>
          <t>Arjun Patel</t>
        </is>
      </c>
      <c r="F278" s="23" t="n">
        <v>46467.6193</v>
      </c>
      <c r="I278" s="24" t="n">
        <v>484828.51</v>
      </c>
      <c r="J278" s="18" t="n">
        <v>10.4337</v>
      </c>
      <c r="K278" t="inlineStr">
        <is>
          <t>Subscription by Arjun Patel (APAPL6789I)</t>
        </is>
      </c>
    </row>
    <row r="279">
      <c r="A279" t="n">
        <v>275</v>
      </c>
      <c r="B279" s="22" t="n">
        <v>46300</v>
      </c>
      <c r="C279" t="inlineStr">
        <is>
          <t>BETA_DEBT</t>
        </is>
      </c>
      <c r="D279" t="inlineStr">
        <is>
          <t>TRADE</t>
        </is>
      </c>
      <c r="E279" t="inlineStr">
        <is>
          <t>SDL-MH-32</t>
        </is>
      </c>
      <c r="G279" s="19" t="n">
        <v>-1000</v>
      </c>
      <c r="H279" s="23" t="n">
        <v>104.0229</v>
      </c>
      <c r="I279" s="24" t="n">
        <v>104022.9</v>
      </c>
      <c r="K279" t="inlineStr">
        <is>
          <t>SELL 1000 SDL-MH-32 @ 104.0229</t>
        </is>
      </c>
    </row>
    <row r="280">
      <c r="A280" t="n">
        <v>276</v>
      </c>
      <c r="B280" s="22" t="n">
        <v>46300</v>
      </c>
      <c r="C280" t="inlineStr">
        <is>
          <t>BETA_DEBT</t>
        </is>
      </c>
      <c r="D280" t="inlineStr">
        <is>
          <t>TRADE</t>
        </is>
      </c>
      <c r="E280" t="inlineStr">
        <is>
          <t>GOI7.26-36</t>
        </is>
      </c>
      <c r="G280" s="19" t="n">
        <v>-7000</v>
      </c>
      <c r="H280" s="23" t="n">
        <v>103.1519</v>
      </c>
      <c r="I280" s="24" t="n">
        <v>722063.3</v>
      </c>
      <c r="K280" t="inlineStr">
        <is>
          <t>SELL 7000 GOI7.26-36 @ 103.1519</t>
        </is>
      </c>
    </row>
    <row r="281">
      <c r="A281" t="n">
        <v>277</v>
      </c>
      <c r="B281" s="22" t="n">
        <v>46300</v>
      </c>
      <c r="C281" t="inlineStr">
        <is>
          <t>BETA_DEBT</t>
        </is>
      </c>
      <c r="D281" t="inlineStr">
        <is>
          <t>TRADE</t>
        </is>
      </c>
      <c r="E281" t="inlineStr">
        <is>
          <t>SDL-MH-32</t>
        </is>
      </c>
      <c r="G281" s="19" t="n">
        <v>400</v>
      </c>
      <c r="H281" s="23" t="n">
        <v>104.241</v>
      </c>
      <c r="I281" s="24" t="n">
        <v>-41696.4</v>
      </c>
      <c r="K281" t="inlineStr">
        <is>
          <t>BUY 400 SDL-MH-32 @ 104.241</t>
        </is>
      </c>
    </row>
    <row r="282">
      <c r="A282" t="n">
        <v>278</v>
      </c>
      <c r="B282" s="22" t="n">
        <v>46300</v>
      </c>
      <c r="C282" t="inlineStr">
        <is>
          <t>GAMMA_BAL</t>
        </is>
      </c>
      <c r="D282" t="inlineStr">
        <is>
          <t>SUBSCRIPTION</t>
        </is>
      </c>
      <c r="E282" t="inlineStr">
        <is>
          <t>Arjun Patel</t>
        </is>
      </c>
      <c r="F282" s="23" t="n">
        <v>16873.3799</v>
      </c>
      <c r="I282" s="24" t="n">
        <v>161436.13</v>
      </c>
      <c r="J282" s="18" t="n">
        <v>9.567500000000001</v>
      </c>
      <c r="K282" t="inlineStr">
        <is>
          <t>Subscription by Arjun Patel (APAPL6789I)</t>
        </is>
      </c>
    </row>
    <row r="283">
      <c r="A283" t="n">
        <v>279</v>
      </c>
      <c r="B283" s="22" t="n">
        <v>46300</v>
      </c>
      <c r="C283" t="inlineStr">
        <is>
          <t>GAMMA_BAL</t>
        </is>
      </c>
      <c r="D283" t="inlineStr">
        <is>
          <t>TRADE</t>
        </is>
      </c>
      <c r="E283" t="inlineStr">
        <is>
          <t>SDL-MH-32</t>
        </is>
      </c>
      <c r="G283" s="19" t="n">
        <v>-3000</v>
      </c>
      <c r="H283" s="23" t="n">
        <v>104.0503</v>
      </c>
      <c r="I283" s="24" t="n">
        <v>312150.9</v>
      </c>
      <c r="K283" t="inlineStr">
        <is>
          <t>SELL 3000 SDL-MH-32 @ 104.0503</t>
        </is>
      </c>
    </row>
    <row r="284">
      <c r="A284" t="n">
        <v>280</v>
      </c>
      <c r="B284" s="22" t="n">
        <v>46300</v>
      </c>
      <c r="C284" t="inlineStr">
        <is>
          <t>GAMMA_BAL</t>
        </is>
      </c>
      <c r="D284" t="inlineStr">
        <is>
          <t>TRADE</t>
        </is>
      </c>
      <c r="E284" t="inlineStr">
        <is>
          <t>LT</t>
        </is>
      </c>
      <c r="G284" s="19" t="n">
        <v>500</v>
      </c>
      <c r="H284" s="23" t="n">
        <v>2303.5486</v>
      </c>
      <c r="I284" s="24" t="n">
        <v>-1151774.3</v>
      </c>
      <c r="K284" t="inlineStr">
        <is>
          <t>BUY 500 LT @ 2303.5486</t>
        </is>
      </c>
    </row>
    <row r="285">
      <c r="A285" t="n">
        <v>281</v>
      </c>
      <c r="B285" s="22" t="n">
        <v>46300</v>
      </c>
      <c r="C285" t="inlineStr">
        <is>
          <t>GAMMA_BAL</t>
        </is>
      </c>
      <c r="D285" t="inlineStr">
        <is>
          <t>TRADE</t>
        </is>
      </c>
      <c r="E285" t="inlineStr">
        <is>
          <t>GOI7.26-36</t>
        </is>
      </c>
      <c r="G285" s="19" t="n">
        <v>200</v>
      </c>
      <c r="H285" s="23" t="n">
        <v>103.2553</v>
      </c>
      <c r="I285" s="24" t="n">
        <v>-20651.06</v>
      </c>
      <c r="K285" t="inlineStr">
        <is>
          <t>BUY 200 GOI7.26-36 @ 103.2553</t>
        </is>
      </c>
    </row>
    <row r="286">
      <c r="A286" t="n">
        <v>282</v>
      </c>
      <c r="B286" s="22" t="n">
        <v>46301</v>
      </c>
      <c r="C286" t="inlineStr">
        <is>
          <t>ALPHA_EQ</t>
        </is>
      </c>
      <c r="D286" t="inlineStr">
        <is>
          <t>REDEMPTION</t>
        </is>
      </c>
      <c r="E286" t="inlineStr">
        <is>
          <t>Ananya Gupta</t>
        </is>
      </c>
      <c r="F286" s="23" t="n">
        <v>-23280.9358</v>
      </c>
      <c r="I286" s="24" t="n">
        <v>-228359.18</v>
      </c>
      <c r="J286" s="18" t="n">
        <v>9.8088</v>
      </c>
      <c r="K286" t="inlineStr">
        <is>
          <t>Redemption by Ananya Gupta (AANJG3456F)</t>
        </is>
      </c>
    </row>
    <row r="287">
      <c r="A287" t="n">
        <v>283</v>
      </c>
      <c r="B287" s="22" t="n">
        <v>46301</v>
      </c>
      <c r="C287" t="inlineStr">
        <is>
          <t>ALPHA_EQ</t>
        </is>
      </c>
      <c r="D287" t="inlineStr">
        <is>
          <t>SUBSCRIPTION</t>
        </is>
      </c>
      <c r="E287" t="inlineStr">
        <is>
          <t>Priya Nair</t>
        </is>
      </c>
      <c r="F287" s="23" t="n">
        <v>44455.1124</v>
      </c>
      <c r="I287" s="24" t="n">
        <v>436053.47</v>
      </c>
      <c r="J287" s="18" t="n">
        <v>9.8088</v>
      </c>
      <c r="K287" t="inlineStr">
        <is>
          <t>Subscription by Priya Nair (ABCPN5678B)</t>
        </is>
      </c>
    </row>
    <row r="288">
      <c r="A288" t="n">
        <v>284</v>
      </c>
      <c r="B288" s="22" t="n">
        <v>46301</v>
      </c>
      <c r="C288" t="inlineStr">
        <is>
          <t>ALPHA_EQ</t>
        </is>
      </c>
      <c r="D288" t="inlineStr">
        <is>
          <t>TRADE</t>
        </is>
      </c>
      <c r="E288" t="inlineStr">
        <is>
          <t>HDFCBANK</t>
        </is>
      </c>
      <c r="G288" s="19" t="n">
        <v>-600</v>
      </c>
      <c r="H288" s="23" t="n">
        <v>1724.0345</v>
      </c>
      <c r="I288" s="24" t="n">
        <v>1034420.7</v>
      </c>
      <c r="K288" t="inlineStr">
        <is>
          <t>SELL 600 HDFCBANK @ 1724.0345</t>
        </is>
      </c>
    </row>
    <row r="289">
      <c r="A289" t="n">
        <v>285</v>
      </c>
      <c r="B289" s="22" t="n">
        <v>46301</v>
      </c>
      <c r="C289" t="inlineStr">
        <is>
          <t>ALPHA_EQ</t>
        </is>
      </c>
      <c r="D289" t="inlineStr">
        <is>
          <t>TRADE</t>
        </is>
      </c>
      <c r="E289" t="inlineStr">
        <is>
          <t>HDFCBANK</t>
        </is>
      </c>
      <c r="G289" s="19" t="n">
        <v>3000</v>
      </c>
      <c r="H289" s="23" t="n">
        <v>1720.8348</v>
      </c>
      <c r="I289" s="24" t="n">
        <v>-5162504.4</v>
      </c>
      <c r="K289" t="inlineStr">
        <is>
          <t>BUY 3000 HDFCBANK @ 1720.8348</t>
        </is>
      </c>
    </row>
    <row r="290">
      <c r="A290" t="n">
        <v>286</v>
      </c>
      <c r="B290" s="22" t="n">
        <v>46301</v>
      </c>
      <c r="C290" t="inlineStr">
        <is>
          <t>BETA_DEBT</t>
        </is>
      </c>
      <c r="D290" t="inlineStr">
        <is>
          <t>REDEMPTION</t>
        </is>
      </c>
      <c r="E290" t="inlineStr">
        <is>
          <t>Karan Singh</t>
        </is>
      </c>
      <c r="F290" s="23" t="n">
        <v>-35075.5706</v>
      </c>
      <c r="I290" s="24" t="n">
        <v>-370466.06</v>
      </c>
      <c r="J290" s="18" t="n">
        <v>10.5619</v>
      </c>
      <c r="K290" t="inlineStr">
        <is>
          <t>Redemption by Karan Singh (AKLSG4567G)</t>
        </is>
      </c>
    </row>
    <row r="291">
      <c r="A291" t="n">
        <v>287</v>
      </c>
      <c r="B291" s="22" t="n">
        <v>46301</v>
      </c>
      <c r="C291" t="inlineStr">
        <is>
          <t>BETA_DEBT</t>
        </is>
      </c>
      <c r="D291" t="inlineStr">
        <is>
          <t>SUBSCRIPTION</t>
        </is>
      </c>
      <c r="E291" t="inlineStr">
        <is>
          <t>Deepa Kulkarni</t>
        </is>
      </c>
      <c r="F291" s="23" t="n">
        <v>20915.5453</v>
      </c>
      <c r="I291" s="24" t="n">
        <v>220908.73</v>
      </c>
      <c r="J291" s="18" t="n">
        <v>10.5619</v>
      </c>
      <c r="K291" t="inlineStr">
        <is>
          <t>Subscription by Deepa Kulkarni (DKDKL5678H)</t>
        </is>
      </c>
    </row>
    <row r="292">
      <c r="A292" t="n">
        <v>288</v>
      </c>
      <c r="B292" s="22" t="n">
        <v>46301</v>
      </c>
      <c r="C292" t="inlineStr">
        <is>
          <t>BETA_DEBT</t>
        </is>
      </c>
      <c r="D292" t="inlineStr">
        <is>
          <t>TRADE</t>
        </is>
      </c>
      <c r="E292" t="inlineStr">
        <is>
          <t>NCD-REL</t>
        </is>
      </c>
      <c r="G292" s="19" t="n">
        <v>-800</v>
      </c>
      <c r="H292" s="23" t="n">
        <v>979.5924</v>
      </c>
      <c r="I292" s="24" t="n">
        <v>783673.92</v>
      </c>
      <c r="K292" t="inlineStr">
        <is>
          <t>SELL 800 NCD-REL @ 979.5924</t>
        </is>
      </c>
    </row>
    <row r="293">
      <c r="A293" t="n">
        <v>289</v>
      </c>
      <c r="B293" s="22" t="n">
        <v>46301</v>
      </c>
      <c r="C293" t="inlineStr">
        <is>
          <t>GAMMA_BAL</t>
        </is>
      </c>
      <c r="D293" t="inlineStr">
        <is>
          <t>SUBSCRIPTION</t>
        </is>
      </c>
      <c r="E293" t="inlineStr">
        <is>
          <t>Sneha Iyer</t>
        </is>
      </c>
      <c r="F293" s="23" t="n">
        <v>50938.5954</v>
      </c>
      <c r="I293" s="24" t="n">
        <v>488346.36</v>
      </c>
      <c r="J293" s="18" t="n">
        <v>9.587</v>
      </c>
      <c r="K293" t="inlineStr">
        <is>
          <t>Subscription by Sneha Iyer (ADSIS2345D)</t>
        </is>
      </c>
    </row>
    <row r="294">
      <c r="A294" t="n">
        <v>290</v>
      </c>
      <c r="B294" s="22" t="n">
        <v>46301</v>
      </c>
      <c r="C294" t="inlineStr">
        <is>
          <t>GAMMA_BAL</t>
        </is>
      </c>
      <c r="D294" t="inlineStr">
        <is>
          <t>TRADE</t>
        </is>
      </c>
      <c r="E294" t="inlineStr">
        <is>
          <t>GOI7.26-36</t>
        </is>
      </c>
      <c r="G294" s="19" t="n">
        <v>1000</v>
      </c>
      <c r="H294" s="23" t="n">
        <v>103.1763</v>
      </c>
      <c r="I294" s="24" t="n">
        <v>-103176.3</v>
      </c>
      <c r="K294" t="inlineStr">
        <is>
          <t>BUY 1000 GOI7.26-36 @ 103.1763</t>
        </is>
      </c>
    </row>
    <row r="295">
      <c r="A295" t="n">
        <v>291</v>
      </c>
      <c r="B295" s="22" t="n">
        <v>46301</v>
      </c>
      <c r="C295" t="inlineStr">
        <is>
          <t>GAMMA_BAL</t>
        </is>
      </c>
      <c r="D295" t="inlineStr">
        <is>
          <t>TRADE</t>
        </is>
      </c>
      <c r="E295" t="inlineStr">
        <is>
          <t>INFY</t>
        </is>
      </c>
      <c r="G295" s="19" t="n">
        <v>-600</v>
      </c>
      <c r="H295" s="23" t="n">
        <v>1990.2334</v>
      </c>
      <c r="I295" s="24" t="n">
        <v>1194140.04</v>
      </c>
      <c r="K295" t="inlineStr">
        <is>
          <t>SELL 600 INFY @ 1990.2334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AE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 ht="30" customHeight="1">
      <c r="A1" s="1" t="inlineStr">
        <is>
          <t>PRICE MATRIX (CLOSE,securities x dates)</t>
        </is>
      </c>
    </row>
    <row r="2" ht="16" customHeight="1">
      <c r="A2" s="2" t="inlineStr">
        <is>
          <t>Source: data/prices.csv - loaded into fundctl.PriceHistory (SQL)</t>
        </is>
      </c>
    </row>
    <row r="4">
      <c r="A4" s="25" t="inlineStr">
        <is>
          <t>symbol</t>
        </is>
      </c>
      <c r="B4" s="26" t="n">
        <v>46260</v>
      </c>
      <c r="C4" s="26" t="n">
        <v>46261</v>
      </c>
      <c r="D4" s="26" t="n">
        <v>46262</v>
      </c>
      <c r="E4" s="26" t="n">
        <v>46265</v>
      </c>
      <c r="F4" s="26" t="n">
        <v>46266</v>
      </c>
      <c r="G4" s="26" t="n">
        <v>46267</v>
      </c>
      <c r="H4" s="26" t="n">
        <v>46268</v>
      </c>
      <c r="I4" s="26" t="n">
        <v>46269</v>
      </c>
      <c r="J4" s="26" t="n">
        <v>46272</v>
      </c>
      <c r="K4" s="26" t="n">
        <v>46273</v>
      </c>
      <c r="L4" s="26" t="n">
        <v>46274</v>
      </c>
      <c r="M4" s="26" t="n">
        <v>46275</v>
      </c>
      <c r="N4" s="26" t="n">
        <v>46276</v>
      </c>
      <c r="O4" s="26" t="n">
        <v>46279</v>
      </c>
      <c r="P4" s="26" t="n">
        <v>46280</v>
      </c>
      <c r="Q4" s="26" t="n">
        <v>46281</v>
      </c>
      <c r="R4" s="26" t="n">
        <v>46282</v>
      </c>
      <c r="S4" s="26" t="n">
        <v>46283</v>
      </c>
      <c r="T4" s="26" t="n">
        <v>46286</v>
      </c>
      <c r="U4" s="26" t="n">
        <v>46287</v>
      </c>
      <c r="V4" s="26" t="n">
        <v>46288</v>
      </c>
      <c r="W4" s="26" t="n">
        <v>46289</v>
      </c>
      <c r="X4" s="26" t="n">
        <v>46290</v>
      </c>
      <c r="Y4" s="26" t="n">
        <v>46293</v>
      </c>
      <c r="Z4" s="26" t="n">
        <v>46294</v>
      </c>
      <c r="AA4" s="26" t="n">
        <v>46295</v>
      </c>
      <c r="AB4" s="26" t="n">
        <v>46296</v>
      </c>
      <c r="AC4" s="26" t="n">
        <v>46297</v>
      </c>
      <c r="AD4" s="26" t="n">
        <v>46300</v>
      </c>
      <c r="AE4" s="26" t="n">
        <v>46301</v>
      </c>
    </row>
    <row r="5">
      <c r="A5" s="27" t="inlineStr">
        <is>
          <t>HDFCBANK</t>
        </is>
      </c>
      <c r="B5" s="21" t="n">
        <v>1626.9184</v>
      </c>
      <c r="C5" s="21" t="n">
        <v>1635.4289</v>
      </c>
      <c r="D5" s="21" t="n">
        <v>1656.1007</v>
      </c>
      <c r="E5" s="21" t="n">
        <v>1647.0608</v>
      </c>
      <c r="F5" s="21" t="n">
        <v>1621.9468</v>
      </c>
      <c r="G5" s="21" t="n">
        <v>1621.8068</v>
      </c>
      <c r="H5" s="21" t="n">
        <v>1632.245</v>
      </c>
      <c r="I5" s="21" t="n">
        <v>1654.8976</v>
      </c>
      <c r="J5" s="21" t="n">
        <v>1631.9103</v>
      </c>
      <c r="K5" s="21" t="n">
        <v>1607.7345</v>
      </c>
      <c r="L5" s="21" t="n">
        <v>1622.4793</v>
      </c>
      <c r="M5" s="21" t="n">
        <v>1632.8454</v>
      </c>
      <c r="N5" s="21" t="n">
        <v>1664.0416</v>
      </c>
      <c r="O5" s="21" t="n">
        <v>1684.8246</v>
      </c>
      <c r="P5" s="21" t="n">
        <v>1683.9462</v>
      </c>
      <c r="Q5" s="21" t="n">
        <v>1679.5834</v>
      </c>
      <c r="R5" s="21" t="n">
        <v>1732.5681</v>
      </c>
      <c r="S5" s="21" t="n">
        <v>1727.7764</v>
      </c>
      <c r="T5" s="21" t="n">
        <v>1712.7116</v>
      </c>
      <c r="U5" s="21" t="n">
        <v>1690.5146</v>
      </c>
      <c r="V5" s="21" t="n">
        <v>1693.6345</v>
      </c>
      <c r="W5" s="21" t="n">
        <v>1697.7734</v>
      </c>
      <c r="X5" s="21" t="n">
        <v>1691.9358</v>
      </c>
      <c r="Y5" s="21" t="n">
        <v>1691.8581</v>
      </c>
      <c r="Z5" s="21" t="n">
        <v>1698.5868</v>
      </c>
      <c r="AA5" s="21" t="n">
        <v>1713.889</v>
      </c>
      <c r="AB5" s="21" t="n">
        <v>1737.6463</v>
      </c>
      <c r="AC5" s="21" t="n">
        <v>1743.2376</v>
      </c>
      <c r="AD5" s="21" t="n">
        <v>1707.0177</v>
      </c>
      <c r="AE5" s="21" t="n">
        <v>1722.5869</v>
      </c>
    </row>
    <row r="6">
      <c r="A6" s="27" t="inlineStr">
        <is>
          <t>ICICIBANK</t>
        </is>
      </c>
      <c r="B6" s="21" t="n">
        <v>1227.8049</v>
      </c>
      <c r="C6" s="21" t="n">
        <v>1225.9283</v>
      </c>
      <c r="D6" s="21" t="n">
        <v>1203.2985</v>
      </c>
      <c r="E6" s="21" t="n">
        <v>1204.1736</v>
      </c>
      <c r="F6" s="21" t="n">
        <v>1192.8287</v>
      </c>
      <c r="G6" s="21" t="n">
        <v>1196.9804</v>
      </c>
      <c r="H6" s="21" t="n">
        <v>1249.1735</v>
      </c>
      <c r="I6" s="21" t="n">
        <v>1249.2586</v>
      </c>
      <c r="J6" s="21" t="n">
        <v>1263.8127</v>
      </c>
      <c r="K6" s="21" t="n">
        <v>1242.9557</v>
      </c>
      <c r="L6" s="21" t="n">
        <v>1239.1713</v>
      </c>
      <c r="M6" s="21" t="n">
        <v>1250.7109</v>
      </c>
      <c r="N6" s="21" t="n">
        <v>1250.0796</v>
      </c>
      <c r="O6" s="21" t="n">
        <v>1256.9705</v>
      </c>
      <c r="P6" s="21" t="n">
        <v>1259.5388</v>
      </c>
      <c r="Q6" s="21" t="n">
        <v>1243.9461</v>
      </c>
      <c r="R6" s="21" t="n">
        <v>1253.9333</v>
      </c>
      <c r="S6" s="21" t="n">
        <v>1241.5741</v>
      </c>
      <c r="T6" s="21" t="n">
        <v>1272.6542</v>
      </c>
      <c r="U6" s="21" t="n">
        <v>1265.1867</v>
      </c>
      <c r="V6" s="21" t="n">
        <v>1277.3568</v>
      </c>
      <c r="W6" s="21" t="n">
        <v>1278.2899</v>
      </c>
      <c r="X6" s="21" t="n">
        <v>1295.012</v>
      </c>
      <c r="Y6" s="21" t="n">
        <v>1285.7812</v>
      </c>
      <c r="Z6" s="21" t="n">
        <v>1303.3775</v>
      </c>
      <c r="AA6" s="21" t="n">
        <v>1302.1905</v>
      </c>
      <c r="AB6" s="21" t="n">
        <v>1324.4879</v>
      </c>
      <c r="AC6" s="21" t="n">
        <v>1336.1626</v>
      </c>
      <c r="AD6" s="21" t="n">
        <v>1339.5522</v>
      </c>
      <c r="AE6" s="21" t="n">
        <v>1326.9019</v>
      </c>
    </row>
    <row r="7">
      <c r="A7" s="27" t="inlineStr">
        <is>
          <t>INFY</t>
        </is>
      </c>
      <c r="B7" s="21" t="n">
        <v>1567.7463</v>
      </c>
      <c r="C7" s="21" t="n">
        <v>1579.119</v>
      </c>
      <c r="D7" s="21" t="n">
        <v>1616.5228</v>
      </c>
      <c r="E7" s="21" t="n">
        <v>1609.1218</v>
      </c>
      <c r="F7" s="21" t="n">
        <v>1622.7456</v>
      </c>
      <c r="G7" s="21" t="n">
        <v>1635.421</v>
      </c>
      <c r="H7" s="21" t="n">
        <v>1643.0447</v>
      </c>
      <c r="I7" s="21" t="n">
        <v>1648.9897</v>
      </c>
      <c r="J7" s="21" t="n">
        <v>1654.3485</v>
      </c>
      <c r="K7" s="21" t="n">
        <v>1641.6471</v>
      </c>
      <c r="L7" s="21" t="n">
        <v>1619.4807</v>
      </c>
      <c r="M7" s="21" t="n">
        <v>1611.6253</v>
      </c>
      <c r="N7" s="21" t="n">
        <v>1626.0839</v>
      </c>
      <c r="O7" s="21" t="n">
        <v>1661.6246</v>
      </c>
      <c r="P7" s="21" t="n">
        <v>1685.5176</v>
      </c>
      <c r="Q7" s="21" t="n">
        <v>1711.5513</v>
      </c>
      <c r="R7" s="21" t="n">
        <v>1731.3747</v>
      </c>
      <c r="S7" s="21" t="n">
        <v>1749.5173</v>
      </c>
      <c r="T7" s="21" t="n">
        <v>1755.2328</v>
      </c>
      <c r="U7" s="21" t="n">
        <v>1775.4202</v>
      </c>
      <c r="V7" s="21" t="n">
        <v>1820.7494</v>
      </c>
      <c r="W7" s="21" t="n">
        <v>1813.6725</v>
      </c>
      <c r="X7" s="21" t="n">
        <v>1797.3254</v>
      </c>
      <c r="Y7" s="21" t="n">
        <v>1847.9043</v>
      </c>
      <c r="Z7" s="21" t="n">
        <v>1855.5281</v>
      </c>
      <c r="AA7" s="21" t="n">
        <v>1882.0503</v>
      </c>
      <c r="AB7" s="21" t="n">
        <v>1906.3929</v>
      </c>
      <c r="AC7" s="21" t="n">
        <v>1877.4153</v>
      </c>
      <c r="AD7" s="21" t="n">
        <v>1942.6906</v>
      </c>
      <c r="AE7" s="21" t="n">
        <v>1992.3485</v>
      </c>
    </row>
    <row r="8">
      <c r="A8" s="27" t="inlineStr">
        <is>
          <t>TCS</t>
        </is>
      </c>
      <c r="B8" s="21" t="n">
        <v>3609.527</v>
      </c>
      <c r="C8" s="21" t="n">
        <v>3641.9314</v>
      </c>
      <c r="D8" s="21" t="n">
        <v>3649.5649</v>
      </c>
      <c r="E8" s="21" t="n">
        <v>3616.6249</v>
      </c>
      <c r="F8" s="21" t="n">
        <v>3614.6988</v>
      </c>
      <c r="G8" s="21" t="n">
        <v>3632.1016</v>
      </c>
      <c r="H8" s="21" t="n">
        <v>3679.2238</v>
      </c>
      <c r="I8" s="21" t="n">
        <v>3710.5042</v>
      </c>
      <c r="J8" s="21" t="n">
        <v>3715.5307</v>
      </c>
      <c r="K8" s="21" t="n">
        <v>3773.5031</v>
      </c>
      <c r="L8" s="21" t="n">
        <v>3744.5683</v>
      </c>
      <c r="M8" s="21" t="n">
        <v>3779.8491</v>
      </c>
      <c r="N8" s="21" t="n">
        <v>3828.7378</v>
      </c>
      <c r="O8" s="21" t="n">
        <v>3819.1194</v>
      </c>
      <c r="P8" s="21" t="n">
        <v>3746.5683</v>
      </c>
      <c r="Q8" s="21" t="n">
        <v>3711.8403</v>
      </c>
      <c r="R8" s="21" t="n">
        <v>3724.1162</v>
      </c>
      <c r="S8" s="21" t="n">
        <v>3748.3461</v>
      </c>
      <c r="T8" s="21" t="n">
        <v>3814.8056</v>
      </c>
      <c r="U8" s="21" t="n">
        <v>3775.338</v>
      </c>
      <c r="V8" s="21" t="n">
        <v>3778.0657</v>
      </c>
      <c r="W8" s="21" t="n">
        <v>3807.6738</v>
      </c>
      <c r="X8" s="21" t="n">
        <v>3803.7341</v>
      </c>
      <c r="Y8" s="21" t="n">
        <v>3707.2458</v>
      </c>
      <c r="Z8" s="21" t="n">
        <v>3742.7283</v>
      </c>
      <c r="AA8" s="21" t="n">
        <v>3840.5437</v>
      </c>
      <c r="AB8" s="21" t="n">
        <v>3885.6602</v>
      </c>
      <c r="AC8" s="21" t="n">
        <v>3849.1668</v>
      </c>
      <c r="AD8" s="21" t="n">
        <v>3834.4002</v>
      </c>
      <c r="AE8" s="21" t="n">
        <v>3846.4404</v>
      </c>
    </row>
    <row r="9">
      <c r="A9" s="27" t="inlineStr">
        <is>
          <t>RELIANCE</t>
        </is>
      </c>
      <c r="B9" s="21" t="n">
        <v>1401.3482</v>
      </c>
      <c r="C9" s="21" t="n">
        <v>1415.3069</v>
      </c>
      <c r="D9" s="21" t="n">
        <v>1418.7103</v>
      </c>
      <c r="E9" s="21" t="n">
        <v>1452.848</v>
      </c>
      <c r="F9" s="21" t="n">
        <v>1452.0845</v>
      </c>
      <c r="G9" s="21" t="n">
        <v>1493.6437</v>
      </c>
      <c r="H9" s="21" t="n">
        <v>1479.342</v>
      </c>
      <c r="I9" s="21" t="n">
        <v>1469.8413</v>
      </c>
      <c r="J9" s="21" t="n">
        <v>1486.7637</v>
      </c>
      <c r="K9" s="21" t="n">
        <v>1519.5697</v>
      </c>
      <c r="L9" s="21" t="n">
        <v>1535.5386</v>
      </c>
      <c r="M9" s="21" t="n">
        <v>1543.56</v>
      </c>
      <c r="N9" s="21" t="n">
        <v>1502.4636</v>
      </c>
      <c r="O9" s="21" t="n">
        <v>1487.4497</v>
      </c>
      <c r="P9" s="21" t="n">
        <v>1474.8666</v>
      </c>
      <c r="Q9" s="21" t="n">
        <v>1464.0939</v>
      </c>
      <c r="R9" s="21" t="n">
        <v>1477.9978</v>
      </c>
      <c r="S9" s="21" t="n">
        <v>1471.6014</v>
      </c>
      <c r="T9" s="21" t="n">
        <v>1490.0187</v>
      </c>
      <c r="U9" s="21" t="n">
        <v>1492.9018</v>
      </c>
      <c r="V9" s="21" t="n">
        <v>1486.4941</v>
      </c>
      <c r="W9" s="21" t="n">
        <v>1490.1692</v>
      </c>
      <c r="X9" s="21" t="n">
        <v>1500.7961</v>
      </c>
      <c r="Y9" s="21" t="n">
        <v>1521.1649</v>
      </c>
      <c r="Z9" s="21" t="n">
        <v>1511.3343</v>
      </c>
      <c r="AA9" s="21" t="n">
        <v>1507.117</v>
      </c>
      <c r="AB9" s="21" t="n">
        <v>1477.3449</v>
      </c>
      <c r="AC9" s="21" t="n">
        <v>1513.92</v>
      </c>
      <c r="AD9" s="21" t="n">
        <v>1547.948</v>
      </c>
      <c r="AE9" s="21" t="n">
        <v>1544.8792</v>
      </c>
    </row>
    <row r="10">
      <c r="A10" s="27" t="inlineStr">
        <is>
          <t>ITC</t>
        </is>
      </c>
      <c r="B10" s="21" t="n">
        <v>478.0398</v>
      </c>
      <c r="C10" s="21" t="n">
        <v>472.4664</v>
      </c>
      <c r="D10" s="21" t="n">
        <v>473.5998</v>
      </c>
      <c r="E10" s="21" t="n">
        <v>474.9083</v>
      </c>
      <c r="F10" s="21" t="n">
        <v>485.602</v>
      </c>
      <c r="G10" s="21" t="n">
        <v>487.1381</v>
      </c>
      <c r="H10" s="21" t="n">
        <v>483.6898</v>
      </c>
      <c r="I10" s="21" t="n">
        <v>472.2039</v>
      </c>
      <c r="J10" s="21" t="n">
        <v>479.1896</v>
      </c>
      <c r="K10" s="21" t="n">
        <v>480.4326</v>
      </c>
      <c r="L10" s="21" t="n">
        <v>473.0373</v>
      </c>
      <c r="M10" s="21" t="n">
        <v>474.2217</v>
      </c>
      <c r="N10" s="21" t="n">
        <v>466.9254</v>
      </c>
      <c r="O10" s="21" t="n">
        <v>483.5031</v>
      </c>
      <c r="P10" s="21" t="n">
        <v>489.2516</v>
      </c>
      <c r="Q10" s="21" t="n">
        <v>492.3949</v>
      </c>
      <c r="R10" s="21" t="n">
        <v>491.8774</v>
      </c>
      <c r="S10" s="21" t="n">
        <v>481.6969</v>
      </c>
      <c r="T10" s="21" t="n">
        <v>481.4252</v>
      </c>
      <c r="U10" s="21" t="n">
        <v>474.2781</v>
      </c>
      <c r="V10" s="21" t="n">
        <v>477.4378</v>
      </c>
      <c r="W10" s="21" t="n">
        <v>467.5602</v>
      </c>
      <c r="X10" s="21" t="n">
        <v>463.6433</v>
      </c>
      <c r="Y10" s="21" t="n">
        <v>469.6223</v>
      </c>
      <c r="Z10" s="21" t="n">
        <v>477.671</v>
      </c>
      <c r="AA10" s="21" t="n">
        <v>472.3631</v>
      </c>
      <c r="AB10" s="21" t="n">
        <v>465.4479</v>
      </c>
      <c r="AC10" s="21" t="n">
        <v>469.8669</v>
      </c>
      <c r="AD10" s="21" t="n">
        <v>474.2041</v>
      </c>
      <c r="AE10" s="21" t="n">
        <v>469.8578</v>
      </c>
    </row>
    <row r="11">
      <c r="A11" s="27" t="inlineStr">
        <is>
          <t>SBIN</t>
        </is>
      </c>
      <c r="B11" s="21" t="n">
        <v>613.5466</v>
      </c>
      <c r="C11" s="21" t="n">
        <v>607.1636999999999</v>
      </c>
      <c r="D11" s="21" t="n">
        <v>596.0339</v>
      </c>
      <c r="E11" s="21" t="n">
        <v>589.9643</v>
      </c>
      <c r="F11" s="21" t="n">
        <v>602.1836</v>
      </c>
      <c r="G11" s="21" t="n">
        <v>609.25</v>
      </c>
      <c r="H11" s="21" t="n">
        <v>629.7242</v>
      </c>
      <c r="I11" s="21" t="n">
        <v>629.2951</v>
      </c>
      <c r="J11" s="21" t="n">
        <v>628.3726</v>
      </c>
      <c r="K11" s="21" t="n">
        <v>618.9353</v>
      </c>
      <c r="L11" s="21" t="n">
        <v>618.1425</v>
      </c>
      <c r="M11" s="21" t="n">
        <v>605.5883</v>
      </c>
      <c r="N11" s="21" t="n">
        <v>588.7904</v>
      </c>
      <c r="O11" s="21" t="n">
        <v>595.7685</v>
      </c>
      <c r="P11" s="21" t="n">
        <v>609.9131</v>
      </c>
      <c r="Q11" s="21" t="n">
        <v>618.5067</v>
      </c>
      <c r="R11" s="21" t="n">
        <v>632.1254</v>
      </c>
      <c r="S11" s="21" t="n">
        <v>635.1202</v>
      </c>
      <c r="T11" s="21" t="n">
        <v>628.2662</v>
      </c>
      <c r="U11" s="21" t="n">
        <v>629.574</v>
      </c>
      <c r="V11" s="21" t="n">
        <v>626.2469</v>
      </c>
      <c r="W11" s="21" t="n">
        <v>615.5481</v>
      </c>
      <c r="X11" s="21" t="n">
        <v>599.3101</v>
      </c>
      <c r="Y11" s="21" t="n">
        <v>585.5115</v>
      </c>
      <c r="Z11" s="21" t="n">
        <v>585.8696</v>
      </c>
      <c r="AA11" s="21" t="n">
        <v>587.6924</v>
      </c>
      <c r="AB11" s="21" t="n">
        <v>583.6413</v>
      </c>
      <c r="AC11" s="21" t="n">
        <v>597.3942</v>
      </c>
      <c r="AD11" s="21" t="n">
        <v>599.5232999999999</v>
      </c>
      <c r="AE11" s="21" t="n">
        <v>605.5335</v>
      </c>
    </row>
    <row r="12">
      <c r="A12" s="27" t="inlineStr">
        <is>
          <t>LT</t>
        </is>
      </c>
      <c r="B12" s="21" t="n">
        <v>2439.7003</v>
      </c>
      <c r="C12" s="21" t="n">
        <v>2415.3975</v>
      </c>
      <c r="D12" s="21" t="n">
        <v>2355.236</v>
      </c>
      <c r="E12" s="21" t="n">
        <v>2379.9206</v>
      </c>
      <c r="F12" s="21" t="n">
        <v>2360.2867</v>
      </c>
      <c r="G12" s="21" t="n">
        <v>2402.1646</v>
      </c>
      <c r="H12" s="21" t="n">
        <v>2414.3879</v>
      </c>
      <c r="I12" s="21" t="n">
        <v>2447.675</v>
      </c>
      <c r="J12" s="21" t="n">
        <v>2473.6885</v>
      </c>
      <c r="K12" s="21" t="n">
        <v>2408.5133</v>
      </c>
      <c r="L12" s="21" t="n">
        <v>2432.7188</v>
      </c>
      <c r="M12" s="21" t="n">
        <v>2413.1341</v>
      </c>
      <c r="N12" s="21" t="n">
        <v>2391.1036</v>
      </c>
      <c r="O12" s="21" t="n">
        <v>2379.2523</v>
      </c>
      <c r="P12" s="21" t="n">
        <v>2404.6771</v>
      </c>
      <c r="Q12" s="21" t="n">
        <v>2434.0072</v>
      </c>
      <c r="R12" s="21" t="n">
        <v>2467.7097</v>
      </c>
      <c r="S12" s="21" t="n">
        <v>2416.1937</v>
      </c>
      <c r="T12" s="21" t="n">
        <v>2399.3349</v>
      </c>
      <c r="U12" s="21" t="n">
        <v>2326.9214</v>
      </c>
      <c r="V12" s="21" t="n">
        <v>2325.4645</v>
      </c>
      <c r="W12" s="21" t="n">
        <v>2345.2349</v>
      </c>
      <c r="X12" s="21" t="n">
        <v>2323.5838</v>
      </c>
      <c r="Y12" s="21" t="n">
        <v>2332.6047</v>
      </c>
      <c r="Z12" s="21" t="n">
        <v>2341.253</v>
      </c>
      <c r="AA12" s="21" t="n">
        <v>2373.56</v>
      </c>
      <c r="AB12" s="21" t="n">
        <v>2349.8762</v>
      </c>
      <c r="AC12" s="21" t="n">
        <v>2326.1964</v>
      </c>
      <c r="AD12" s="21" t="n">
        <v>2304.7428</v>
      </c>
      <c r="AE12" s="21" t="n">
        <v>2358.8666</v>
      </c>
    </row>
    <row r="13">
      <c r="A13" s="27" t="inlineStr">
        <is>
          <t>MARUTI</t>
        </is>
      </c>
      <c r="B13" s="21" t="n">
        <v>1828.7433</v>
      </c>
      <c r="C13" s="21" t="n">
        <v>1826.8584</v>
      </c>
      <c r="D13" s="21" t="n">
        <v>1833.9075</v>
      </c>
      <c r="E13" s="21" t="n">
        <v>1838.128</v>
      </c>
      <c r="F13" s="21" t="n">
        <v>1844.6392</v>
      </c>
      <c r="G13" s="21" t="n">
        <v>1840.5424</v>
      </c>
      <c r="H13" s="21" t="n">
        <v>1833.2197</v>
      </c>
      <c r="I13" s="21" t="n">
        <v>1802.253</v>
      </c>
      <c r="J13" s="21" t="n">
        <v>1787.3201</v>
      </c>
      <c r="K13" s="21" t="n">
        <v>1829.8682</v>
      </c>
      <c r="L13" s="21" t="n">
        <v>1844.8948</v>
      </c>
      <c r="M13" s="21" t="n">
        <v>1847.8587</v>
      </c>
      <c r="N13" s="21" t="n">
        <v>1843.5947</v>
      </c>
      <c r="O13" s="21" t="n">
        <v>1846.5024</v>
      </c>
      <c r="P13" s="21" t="n">
        <v>1856.9294</v>
      </c>
      <c r="Q13" s="21" t="n">
        <v>1841.4372</v>
      </c>
      <c r="R13" s="21" t="n">
        <v>1847.7881</v>
      </c>
      <c r="S13" s="21" t="n">
        <v>1855.2905</v>
      </c>
      <c r="T13" s="21" t="n">
        <v>1837.145</v>
      </c>
      <c r="U13" s="21" t="n">
        <v>1818.138</v>
      </c>
      <c r="V13" s="21" t="n">
        <v>1793.9825</v>
      </c>
      <c r="W13" s="21" t="n">
        <v>1768.5317</v>
      </c>
      <c r="X13" s="21" t="n">
        <v>1791.8026</v>
      </c>
      <c r="Y13" s="21" t="n">
        <v>1733.8518</v>
      </c>
      <c r="Z13" s="21" t="n">
        <v>1728.5898</v>
      </c>
      <c r="AA13" s="21" t="n">
        <v>1715.0105</v>
      </c>
      <c r="AB13" s="21" t="n">
        <v>1701.3291</v>
      </c>
      <c r="AC13" s="21" t="n">
        <v>1704.8447</v>
      </c>
      <c r="AD13" s="21" t="n">
        <v>1732.9594</v>
      </c>
      <c r="AE13" s="21" t="n">
        <v>1736.0266</v>
      </c>
    </row>
    <row r="14">
      <c r="A14" s="27" t="inlineStr">
        <is>
          <t>HINDUNILVR</t>
        </is>
      </c>
      <c r="B14" s="21" t="n">
        <v>2598.5383</v>
      </c>
      <c r="C14" s="21" t="n">
        <v>2586.0352</v>
      </c>
      <c r="D14" s="21" t="n">
        <v>2584.844</v>
      </c>
      <c r="E14" s="21" t="n">
        <v>2607.8713</v>
      </c>
      <c r="F14" s="21" t="n">
        <v>2600.4482</v>
      </c>
      <c r="G14" s="21" t="n">
        <v>2575.4362</v>
      </c>
      <c r="H14" s="21" t="n">
        <v>2547.9376</v>
      </c>
      <c r="I14" s="21" t="n">
        <v>2524.3425</v>
      </c>
      <c r="J14" s="21" t="n">
        <v>2494.5318</v>
      </c>
      <c r="K14" s="21" t="n">
        <v>2520.9523</v>
      </c>
      <c r="L14" s="21" t="n">
        <v>2530.7756</v>
      </c>
      <c r="M14" s="21" t="n">
        <v>2527.1406</v>
      </c>
      <c r="N14" s="21" t="n">
        <v>2562.1054</v>
      </c>
      <c r="O14" s="21" t="n">
        <v>2548.7294</v>
      </c>
      <c r="P14" s="21" t="n">
        <v>2567.7866</v>
      </c>
      <c r="Q14" s="21" t="n">
        <v>2588.0944</v>
      </c>
      <c r="R14" s="21" t="n">
        <v>2553.8889</v>
      </c>
      <c r="S14" s="21" t="n">
        <v>2519.8897</v>
      </c>
      <c r="T14" s="21" t="n">
        <v>2500.6187</v>
      </c>
      <c r="U14" s="21" t="n">
        <v>2522.7756</v>
      </c>
      <c r="V14" s="21" t="n">
        <v>2553.9695</v>
      </c>
      <c r="W14" s="21" t="n">
        <v>2527.5407</v>
      </c>
      <c r="X14" s="21" t="n">
        <v>2553.162</v>
      </c>
      <c r="Y14" s="21" t="n">
        <v>2546.1478</v>
      </c>
      <c r="Z14" s="21" t="n">
        <v>2538.9137</v>
      </c>
      <c r="AA14" s="21" t="n">
        <v>2528.0975</v>
      </c>
      <c r="AB14" s="21" t="n">
        <v>2522.4953</v>
      </c>
      <c r="AC14" s="21" t="n">
        <v>2482.9805</v>
      </c>
      <c r="AD14" s="21" t="n">
        <v>2462.3438</v>
      </c>
      <c r="AE14" s="21" t="n">
        <v>2436.6844</v>
      </c>
    </row>
    <row r="15">
      <c r="A15" s="27" t="inlineStr">
        <is>
          <t>GOI7.26-36</t>
        </is>
      </c>
      <c r="B15" s="21" t="n">
        <v>102.1623</v>
      </c>
      <c r="C15" s="21" t="n">
        <v>102.8149</v>
      </c>
      <c r="D15" s="21" t="n">
        <v>103.6698</v>
      </c>
      <c r="E15" s="21" t="n">
        <v>103.5776</v>
      </c>
      <c r="F15" s="21" t="n">
        <v>103.0551</v>
      </c>
      <c r="G15" s="21" t="n">
        <v>102.9417</v>
      </c>
      <c r="H15" s="21" t="n">
        <v>102.6639</v>
      </c>
      <c r="I15" s="21" t="n">
        <v>103.2871</v>
      </c>
      <c r="J15" s="21" t="n">
        <v>103.4764</v>
      </c>
      <c r="K15" s="21" t="n">
        <v>103.2626</v>
      </c>
      <c r="L15" s="21" t="n">
        <v>103.5649</v>
      </c>
      <c r="M15" s="21" t="n">
        <v>103.7438</v>
      </c>
      <c r="N15" s="21" t="n">
        <v>103.2504</v>
      </c>
      <c r="O15" s="21" t="n">
        <v>103.0982</v>
      </c>
      <c r="P15" s="21" t="n">
        <v>103.0366</v>
      </c>
      <c r="Q15" s="21" t="n">
        <v>103.0548</v>
      </c>
      <c r="R15" s="21" t="n">
        <v>103.108</v>
      </c>
      <c r="S15" s="21" t="n">
        <v>103.0155</v>
      </c>
      <c r="T15" s="21" t="n">
        <v>103.0865</v>
      </c>
      <c r="U15" s="21" t="n">
        <v>102.9176</v>
      </c>
      <c r="V15" s="21" t="n">
        <v>102.6532</v>
      </c>
      <c r="W15" s="21" t="n">
        <v>103.1323</v>
      </c>
      <c r="X15" s="21" t="n">
        <v>103.2561</v>
      </c>
      <c r="Y15" s="21" t="n">
        <v>103.4043</v>
      </c>
      <c r="Z15" s="21" t="n">
        <v>102.9219</v>
      </c>
      <c r="AA15" s="21" t="n">
        <v>102.883</v>
      </c>
      <c r="AB15" s="21" t="n">
        <v>103.1482</v>
      </c>
      <c r="AC15" s="21" t="n">
        <v>102.761</v>
      </c>
      <c r="AD15" s="21" t="n">
        <v>103.1117</v>
      </c>
      <c r="AE15" s="21" t="n">
        <v>103.0036</v>
      </c>
    </row>
    <row r="16">
      <c r="A16" s="27" t="inlineStr">
        <is>
          <t>GOI8.2-33</t>
        </is>
      </c>
      <c r="B16" s="21" t="n">
        <v>108.6441</v>
      </c>
      <c r="C16" s="21" t="n">
        <v>108.6137</v>
      </c>
      <c r="D16" s="21" t="n">
        <v>108.6979</v>
      </c>
      <c r="E16" s="21" t="n">
        <v>109.1034</v>
      </c>
      <c r="F16" s="21" t="n">
        <v>108.9844</v>
      </c>
      <c r="G16" s="21" t="n">
        <v>109.509</v>
      </c>
      <c r="H16" s="21" t="n">
        <v>109.2653</v>
      </c>
      <c r="I16" s="21" t="n">
        <v>108.973</v>
      </c>
      <c r="J16" s="21" t="n">
        <v>109.2185</v>
      </c>
      <c r="K16" s="21" t="n">
        <v>108.8823</v>
      </c>
      <c r="L16" s="21" t="n">
        <v>108.7744</v>
      </c>
      <c r="M16" s="21" t="n">
        <v>109.0835</v>
      </c>
      <c r="N16" s="21" t="n">
        <v>109.4927</v>
      </c>
      <c r="O16" s="21" t="n">
        <v>108.9228</v>
      </c>
      <c r="P16" s="21" t="n">
        <v>109.1012</v>
      </c>
      <c r="Q16" s="21" t="n">
        <v>109.7308</v>
      </c>
      <c r="R16" s="21" t="n">
        <v>110.1374</v>
      </c>
      <c r="S16" s="21" t="n">
        <v>110.0713</v>
      </c>
      <c r="T16" s="21" t="n">
        <v>109.8861</v>
      </c>
      <c r="U16" s="21" t="n">
        <v>109.8016</v>
      </c>
      <c r="V16" s="21" t="n">
        <v>109.435</v>
      </c>
      <c r="W16" s="21" t="n">
        <v>109.3613</v>
      </c>
      <c r="X16" s="21" t="n">
        <v>109.3129</v>
      </c>
      <c r="Y16" s="21" t="n">
        <v>109.2783</v>
      </c>
      <c r="Z16" s="21" t="n">
        <v>109.6791</v>
      </c>
      <c r="AA16" s="21" t="n">
        <v>109.6165</v>
      </c>
      <c r="AB16" s="21" t="n">
        <v>109.1503</v>
      </c>
      <c r="AC16" s="21" t="n">
        <v>109.5075</v>
      </c>
      <c r="AD16" s="21" t="n">
        <v>109.1682</v>
      </c>
      <c r="AE16" s="21" t="n">
        <v>109.0349</v>
      </c>
    </row>
    <row r="17">
      <c r="A17" s="27" t="inlineStr">
        <is>
          <t>SDL-MH-32</t>
        </is>
      </c>
      <c r="B17" s="21" t="n">
        <v>101.4579</v>
      </c>
      <c r="C17" s="21" t="n">
        <v>101.3304</v>
      </c>
      <c r="D17" s="21" t="n">
        <v>100.936</v>
      </c>
      <c r="E17" s="21" t="n">
        <v>100.8476</v>
      </c>
      <c r="F17" s="21" t="n">
        <v>101.7407</v>
      </c>
      <c r="G17" s="21" t="n">
        <v>101.506</v>
      </c>
      <c r="H17" s="21" t="n">
        <v>101.4628</v>
      </c>
      <c r="I17" s="21" t="n">
        <v>101.9311</v>
      </c>
      <c r="J17" s="21" t="n">
        <v>102.2469</v>
      </c>
      <c r="K17" s="21" t="n">
        <v>102.5714</v>
      </c>
      <c r="L17" s="21" t="n">
        <v>102.9374</v>
      </c>
      <c r="M17" s="21" t="n">
        <v>102.1395</v>
      </c>
      <c r="N17" s="21" t="n">
        <v>101.7987</v>
      </c>
      <c r="O17" s="21" t="n">
        <v>101.8632</v>
      </c>
      <c r="P17" s="21" t="n">
        <v>102.0787</v>
      </c>
      <c r="Q17" s="21" t="n">
        <v>102.6194</v>
      </c>
      <c r="R17" s="21" t="n">
        <v>102.8245</v>
      </c>
      <c r="S17" s="21" t="n">
        <v>102.7388</v>
      </c>
      <c r="T17" s="21" t="n">
        <v>102.7673</v>
      </c>
      <c r="U17" s="21" t="n">
        <v>102.6928</v>
      </c>
      <c r="V17" s="21" t="n">
        <v>102.8066</v>
      </c>
      <c r="W17" s="21" t="n">
        <v>103.0962</v>
      </c>
      <c r="X17" s="21" t="n">
        <v>102.9685</v>
      </c>
      <c r="Y17" s="21" t="n">
        <v>102.6457</v>
      </c>
      <c r="Z17" s="21" t="n">
        <v>102.3071</v>
      </c>
      <c r="AA17" s="21" t="n">
        <v>102.7683</v>
      </c>
      <c r="AB17" s="21" t="n">
        <v>103.3072</v>
      </c>
      <c r="AC17" s="21" t="n">
        <v>103.7296</v>
      </c>
      <c r="AD17" s="21" t="n">
        <v>104.0976</v>
      </c>
      <c r="AE17" s="21" t="n">
        <v>104.457</v>
      </c>
    </row>
    <row r="18">
      <c r="A18" s="27" t="inlineStr">
        <is>
          <t>CP-TATA</t>
        </is>
      </c>
      <c r="B18" s="21" t="n">
        <v>99.8117</v>
      </c>
      <c r="C18" s="21" t="n">
        <v>99.89</v>
      </c>
      <c r="D18" s="21" t="n">
        <v>99.79689999999999</v>
      </c>
      <c r="E18" s="21" t="n">
        <v>99.7886</v>
      </c>
      <c r="F18" s="21" t="n">
        <v>99.7273</v>
      </c>
      <c r="G18" s="21" t="n">
        <v>99.81180000000001</v>
      </c>
      <c r="H18" s="21" t="n">
        <v>99.7659</v>
      </c>
      <c r="I18" s="21" t="n">
        <v>99.7671</v>
      </c>
      <c r="J18" s="21" t="n">
        <v>99.819</v>
      </c>
      <c r="K18" s="21" t="n">
        <v>99.9662</v>
      </c>
      <c r="L18" s="21" t="n">
        <v>99.899</v>
      </c>
      <c r="M18" s="21" t="n">
        <v>99.8172</v>
      </c>
      <c r="N18" s="21" t="n">
        <v>99.91079999999999</v>
      </c>
      <c r="O18" s="21" t="n">
        <v>99.8122</v>
      </c>
      <c r="P18" s="21" t="n">
        <v>99.8694</v>
      </c>
      <c r="Q18" s="21" t="n">
        <v>99.8244</v>
      </c>
      <c r="R18" s="21" t="n">
        <v>99.8258</v>
      </c>
      <c r="S18" s="21" t="n">
        <v>99.6561</v>
      </c>
      <c r="T18" s="21" t="n">
        <v>99.73909999999999</v>
      </c>
      <c r="U18" s="21" t="n">
        <v>99.7012</v>
      </c>
      <c r="V18" s="21" t="n">
        <v>99.6236</v>
      </c>
      <c r="W18" s="21" t="n">
        <v>99.8424</v>
      </c>
      <c r="X18" s="21" t="n">
        <v>99.9255</v>
      </c>
      <c r="Y18" s="21" t="n">
        <v>100.2881</v>
      </c>
      <c r="Z18" s="21" t="n">
        <v>100.341</v>
      </c>
      <c r="AA18" s="21" t="n">
        <v>100.3181</v>
      </c>
      <c r="AB18" s="21" t="n">
        <v>100.341</v>
      </c>
      <c r="AC18" s="21" t="n">
        <v>100.5143</v>
      </c>
      <c r="AD18" s="21" t="n">
        <v>100.5236</v>
      </c>
      <c r="AE18" s="21" t="n">
        <v>100.581</v>
      </c>
    </row>
    <row r="19">
      <c r="A19" s="27" t="inlineStr">
        <is>
          <t>NCD-REL</t>
        </is>
      </c>
      <c r="B19" s="21" t="n">
        <v>1007.1973</v>
      </c>
      <c r="C19" s="21" t="n">
        <v>1003.6517</v>
      </c>
      <c r="D19" s="21" t="n">
        <v>1004.2894</v>
      </c>
      <c r="E19" s="21" t="n">
        <v>1002.3904</v>
      </c>
      <c r="F19" s="21" t="n">
        <v>997.5168</v>
      </c>
      <c r="G19" s="21" t="n">
        <v>1001.1162</v>
      </c>
      <c r="H19" s="21" t="n">
        <v>1003.9018</v>
      </c>
      <c r="I19" s="21" t="n">
        <v>1004.3218</v>
      </c>
      <c r="J19" s="21" t="n">
        <v>1000.7969</v>
      </c>
      <c r="K19" s="21" t="n">
        <v>992.8874</v>
      </c>
      <c r="L19" s="21" t="n">
        <v>994.9347</v>
      </c>
      <c r="M19" s="21" t="n">
        <v>994.6651000000001</v>
      </c>
      <c r="N19" s="21" t="n">
        <v>988.0851</v>
      </c>
      <c r="O19" s="21" t="n">
        <v>987.966</v>
      </c>
      <c r="P19" s="21" t="n">
        <v>982.073</v>
      </c>
      <c r="Q19" s="21" t="n">
        <v>982.0863000000001</v>
      </c>
      <c r="R19" s="21" t="n">
        <v>982.766</v>
      </c>
      <c r="S19" s="21" t="n">
        <v>984.2786</v>
      </c>
      <c r="T19" s="21" t="n">
        <v>985.2512</v>
      </c>
      <c r="U19" s="21" t="n">
        <v>986.043</v>
      </c>
      <c r="V19" s="21" t="n">
        <v>981.6655</v>
      </c>
      <c r="W19" s="21" t="n">
        <v>980.2768</v>
      </c>
      <c r="X19" s="21" t="n">
        <v>978.3896999999999</v>
      </c>
      <c r="Y19" s="21" t="n">
        <v>977.5848</v>
      </c>
      <c r="Z19" s="21" t="n">
        <v>978.7578999999999</v>
      </c>
      <c r="AA19" s="21" t="n">
        <v>981.2989</v>
      </c>
      <c r="AB19" s="21" t="n">
        <v>987.8344</v>
      </c>
      <c r="AC19" s="21" t="n">
        <v>977.8031</v>
      </c>
      <c r="AD19" s="21" t="n">
        <v>979.4888999999999</v>
      </c>
      <c r="AE19" s="21" t="n">
        <v>978.8293</v>
      </c>
    </row>
  </sheetData>
  <mergeCells count="2">
    <mergeCell ref="A1:AE1"/>
    <mergeCell ref="A2:A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F5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12" customWidth="1" min="5" max="5"/>
    <col width="16" customWidth="1" min="6" max="6"/>
  </cols>
  <sheetData>
    <row r="1" ht="30" customHeight="1">
      <c r="A1" s="1" t="inlineStr">
        <is>
          <t>END-OF-DAY HOLDINGS (ENGINE FEED)</t>
        </is>
      </c>
    </row>
    <row r="2" ht="16" customHeight="1">
      <c r="A2" s="2" t="inlineStr">
        <is>
          <t>Source: outputs/holdings_eod.csv - mirrors fundctl.HoldingsEOD</t>
        </is>
      </c>
    </row>
    <row r="4">
      <c r="A4" s="17" t="inlineStr">
        <is>
          <t>nav_date</t>
        </is>
      </c>
      <c r="B4" s="17" t="inlineStr">
        <is>
          <t>fund_code</t>
        </is>
      </c>
      <c r="C4" s="17" t="inlineStr">
        <is>
          <t>symbol</t>
        </is>
      </c>
      <c r="D4" s="17" t="inlineStr">
        <is>
          <t>qty</t>
        </is>
      </c>
      <c r="E4" s="17" t="inlineStr">
        <is>
          <t>close_price</t>
        </is>
      </c>
      <c r="F4" s="17" t="inlineStr">
        <is>
          <t>market_value</t>
        </is>
      </c>
    </row>
    <row r="5">
      <c r="A5" s="22" t="n">
        <v>46260</v>
      </c>
      <c r="B5" t="inlineStr">
        <is>
          <t>ALPHA_EQ</t>
        </is>
      </c>
      <c r="C5" t="inlineStr">
        <is>
          <t>HDFCBANK</t>
        </is>
      </c>
      <c r="D5" s="19" t="n">
        <v>15200</v>
      </c>
      <c r="E5" s="21" t="n">
        <v>1626.9184</v>
      </c>
      <c r="F5" s="20" t="n">
        <v>24729159.68</v>
      </c>
    </row>
    <row r="6">
      <c r="A6" s="22" t="n">
        <v>46260</v>
      </c>
      <c r="B6" t="inlineStr">
        <is>
          <t>ALPHA_EQ</t>
        </is>
      </c>
      <c r="C6" t="inlineStr">
        <is>
          <t>ICICIBANK</t>
        </is>
      </c>
      <c r="D6" s="19" t="n">
        <v>15800</v>
      </c>
      <c r="E6" s="21" t="n">
        <v>1227.8049</v>
      </c>
      <c r="F6" s="20" t="n">
        <v>19399317.42</v>
      </c>
    </row>
    <row r="7">
      <c r="A7" s="22" t="n">
        <v>46260</v>
      </c>
      <c r="B7" t="inlineStr">
        <is>
          <t>ALPHA_EQ</t>
        </is>
      </c>
      <c r="C7" t="inlineStr">
        <is>
          <t>INFY</t>
        </is>
      </c>
      <c r="D7" s="19" t="n">
        <v>9700</v>
      </c>
      <c r="E7" s="21" t="n">
        <v>1567.7463</v>
      </c>
      <c r="F7" s="20" t="n">
        <v>15207139.11</v>
      </c>
    </row>
    <row r="8">
      <c r="A8" s="22" t="n">
        <v>46260</v>
      </c>
      <c r="B8" t="inlineStr">
        <is>
          <t>ALPHA_EQ</t>
        </is>
      </c>
      <c r="C8" t="inlineStr">
        <is>
          <t>TCS</t>
        </is>
      </c>
      <c r="D8" s="19" t="n">
        <v>4200</v>
      </c>
      <c r="E8" s="21" t="n">
        <v>3609.527</v>
      </c>
      <c r="F8" s="20" t="n">
        <v>15160013.4</v>
      </c>
    </row>
    <row r="9">
      <c r="A9" s="22" t="n">
        <v>46260</v>
      </c>
      <c r="B9" t="inlineStr">
        <is>
          <t>ALPHA_EQ</t>
        </is>
      </c>
      <c r="C9" t="inlineStr">
        <is>
          <t>RELIANCE</t>
        </is>
      </c>
      <c r="D9" s="19" t="n">
        <v>7400</v>
      </c>
      <c r="E9" s="21" t="n">
        <v>1401.3482</v>
      </c>
      <c r="F9" s="20" t="n">
        <v>10369976.68</v>
      </c>
    </row>
    <row r="10">
      <c r="A10" s="22" t="n">
        <v>46260</v>
      </c>
      <c r="B10" t="inlineStr">
        <is>
          <t>ALPHA_EQ</t>
        </is>
      </c>
      <c r="C10" t="inlineStr">
        <is>
          <t>ITC</t>
        </is>
      </c>
      <c r="D10" s="19" t="n">
        <v>20800</v>
      </c>
      <c r="E10" s="21" t="n">
        <v>478.0398</v>
      </c>
      <c r="F10" s="20" t="n">
        <v>9943227.84</v>
      </c>
    </row>
    <row r="11">
      <c r="A11" s="22" t="n">
        <v>46261</v>
      </c>
      <c r="B11" t="inlineStr">
        <is>
          <t>ALPHA_EQ</t>
        </is>
      </c>
      <c r="C11" t="inlineStr">
        <is>
          <t>HDFCBANK</t>
        </is>
      </c>
      <c r="D11" s="19" t="n">
        <v>15800</v>
      </c>
      <c r="E11" s="21" t="n">
        <v>1635.4289</v>
      </c>
      <c r="F11" s="20" t="n">
        <v>25839776.62</v>
      </c>
    </row>
    <row r="12">
      <c r="A12" s="22" t="n">
        <v>46261</v>
      </c>
      <c r="B12" t="inlineStr">
        <is>
          <t>ALPHA_EQ</t>
        </is>
      </c>
      <c r="C12" t="inlineStr">
        <is>
          <t>ICICIBANK</t>
        </is>
      </c>
      <c r="D12" s="19" t="n">
        <v>15800</v>
      </c>
      <c r="E12" s="21" t="n">
        <v>1225.9283</v>
      </c>
      <c r="F12" s="20" t="n">
        <v>19369667.14</v>
      </c>
    </row>
    <row r="13">
      <c r="A13" s="22" t="n">
        <v>46261</v>
      </c>
      <c r="B13" t="inlineStr">
        <is>
          <t>ALPHA_EQ</t>
        </is>
      </c>
      <c r="C13" t="inlineStr">
        <is>
          <t>INFY</t>
        </is>
      </c>
      <c r="D13" s="19" t="n">
        <v>9700</v>
      </c>
      <c r="E13" s="21" t="n">
        <v>1579.119</v>
      </c>
      <c r="F13" s="20" t="n">
        <v>15317454.3</v>
      </c>
    </row>
    <row r="14">
      <c r="A14" s="22" t="n">
        <v>46261</v>
      </c>
      <c r="B14" t="inlineStr">
        <is>
          <t>ALPHA_EQ</t>
        </is>
      </c>
      <c r="C14" t="inlineStr">
        <is>
          <t>TCS</t>
        </is>
      </c>
      <c r="D14" s="19" t="n">
        <v>200</v>
      </c>
      <c r="E14" s="21" t="n">
        <v>3641.9314</v>
      </c>
      <c r="F14" s="20" t="n">
        <v>728386.28</v>
      </c>
    </row>
    <row r="15">
      <c r="A15" s="22" t="n">
        <v>46261</v>
      </c>
      <c r="B15" t="inlineStr">
        <is>
          <t>ALPHA_EQ</t>
        </is>
      </c>
      <c r="C15" t="inlineStr">
        <is>
          <t>RELIANCE</t>
        </is>
      </c>
      <c r="D15" s="19" t="n">
        <v>7400</v>
      </c>
      <c r="E15" s="21" t="n">
        <v>1415.3069</v>
      </c>
      <c r="F15" s="20" t="n">
        <v>10473271.06</v>
      </c>
    </row>
    <row r="16">
      <c r="A16" s="22" t="n">
        <v>46261</v>
      </c>
      <c r="B16" t="inlineStr">
        <is>
          <t>ALPHA_EQ</t>
        </is>
      </c>
      <c r="C16" t="inlineStr">
        <is>
          <t>ITC</t>
        </is>
      </c>
      <c r="D16" s="19" t="n">
        <v>20800</v>
      </c>
      <c r="E16" s="21" t="n">
        <v>472.4664</v>
      </c>
      <c r="F16" s="20" t="n">
        <v>9827301.119999999</v>
      </c>
    </row>
    <row r="17">
      <c r="A17" s="22" t="n">
        <v>46262</v>
      </c>
      <c r="B17" t="inlineStr">
        <is>
          <t>ALPHA_EQ</t>
        </is>
      </c>
      <c r="C17" t="inlineStr">
        <is>
          <t>HDFCBANK</t>
        </is>
      </c>
      <c r="D17" s="19" t="n">
        <v>16800</v>
      </c>
      <c r="E17" s="21" t="n">
        <v>1656.1007</v>
      </c>
      <c r="F17" s="20" t="n">
        <v>27822491.76</v>
      </c>
    </row>
    <row r="18">
      <c r="A18" s="22" t="n">
        <v>46262</v>
      </c>
      <c r="B18" t="inlineStr">
        <is>
          <t>ALPHA_EQ</t>
        </is>
      </c>
      <c r="C18" t="inlineStr">
        <is>
          <t>ICICIBANK</t>
        </is>
      </c>
      <c r="D18" s="19" t="n">
        <v>15800</v>
      </c>
      <c r="E18" s="21" t="n">
        <v>1203.2985</v>
      </c>
      <c r="F18" s="20" t="n">
        <v>19012116.3</v>
      </c>
    </row>
    <row r="19">
      <c r="A19" s="22" t="n">
        <v>46262</v>
      </c>
      <c r="B19" t="inlineStr">
        <is>
          <t>ALPHA_EQ</t>
        </is>
      </c>
      <c r="C19" t="inlineStr">
        <is>
          <t>INFY</t>
        </is>
      </c>
      <c r="D19" s="19" t="n">
        <v>9700</v>
      </c>
      <c r="E19" s="21" t="n">
        <v>1616.5228</v>
      </c>
      <c r="F19" s="20" t="n">
        <v>15680271.16</v>
      </c>
    </row>
    <row r="20">
      <c r="A20" s="22" t="n">
        <v>46262</v>
      </c>
      <c r="B20" t="inlineStr">
        <is>
          <t>ALPHA_EQ</t>
        </is>
      </c>
      <c r="C20" t="inlineStr">
        <is>
          <t>TCS</t>
        </is>
      </c>
      <c r="D20" s="19" t="n">
        <v>200</v>
      </c>
      <c r="E20" s="21" t="n">
        <v>3649.5649</v>
      </c>
      <c r="F20" s="20" t="n">
        <v>729912.98</v>
      </c>
    </row>
    <row r="21">
      <c r="A21" s="22" t="n">
        <v>46262</v>
      </c>
      <c r="B21" t="inlineStr">
        <is>
          <t>ALPHA_EQ</t>
        </is>
      </c>
      <c r="C21" t="inlineStr">
        <is>
          <t>RELIANCE</t>
        </is>
      </c>
      <c r="D21" s="19" t="n">
        <v>7400</v>
      </c>
      <c r="E21" s="21" t="n">
        <v>1418.7103</v>
      </c>
      <c r="F21" s="20" t="n">
        <v>10498456.22</v>
      </c>
    </row>
    <row r="22">
      <c r="A22" s="22" t="n">
        <v>46262</v>
      </c>
      <c r="B22" t="inlineStr">
        <is>
          <t>ALPHA_EQ</t>
        </is>
      </c>
      <c r="C22" t="inlineStr">
        <is>
          <t>ITC</t>
        </is>
      </c>
      <c r="D22" s="19" t="n">
        <v>16800</v>
      </c>
      <c r="E22" s="21" t="n">
        <v>473.5998</v>
      </c>
      <c r="F22" s="20" t="n">
        <v>7956476.64</v>
      </c>
    </row>
    <row r="23">
      <c r="A23" s="22" t="n">
        <v>46265</v>
      </c>
      <c r="B23" t="inlineStr">
        <is>
          <t>ALPHA_EQ</t>
        </is>
      </c>
      <c r="C23" t="inlineStr">
        <is>
          <t>HDFCBANK</t>
        </is>
      </c>
      <c r="D23" s="19" t="n">
        <v>19800</v>
      </c>
      <c r="E23" s="21" t="n">
        <v>1647.0608</v>
      </c>
      <c r="F23" s="20" t="n">
        <v>32611803.84</v>
      </c>
    </row>
    <row r="24">
      <c r="A24" s="22" t="n">
        <v>46265</v>
      </c>
      <c r="B24" t="inlineStr">
        <is>
          <t>ALPHA_EQ</t>
        </is>
      </c>
      <c r="C24" t="inlineStr">
        <is>
          <t>ICICIBANK</t>
        </is>
      </c>
      <c r="D24" s="19" t="n">
        <v>15800</v>
      </c>
      <c r="E24" s="21" t="n">
        <v>1204.1736</v>
      </c>
      <c r="F24" s="20" t="n">
        <v>19025942.88</v>
      </c>
    </row>
    <row r="25">
      <c r="A25" s="22" t="n">
        <v>46265</v>
      </c>
      <c r="B25" t="inlineStr">
        <is>
          <t>ALPHA_EQ</t>
        </is>
      </c>
      <c r="C25" t="inlineStr">
        <is>
          <t>INFY</t>
        </is>
      </c>
      <c r="D25" s="19" t="n">
        <v>9700</v>
      </c>
      <c r="E25" s="21" t="n">
        <v>1609.1218</v>
      </c>
      <c r="F25" s="20" t="n">
        <v>15608481.46</v>
      </c>
    </row>
    <row r="26">
      <c r="A26" s="22" t="n">
        <v>46265</v>
      </c>
      <c r="B26" t="inlineStr">
        <is>
          <t>ALPHA_EQ</t>
        </is>
      </c>
      <c r="C26" t="inlineStr">
        <is>
          <t>TCS</t>
        </is>
      </c>
      <c r="D26" s="19" t="n">
        <v>200</v>
      </c>
      <c r="E26" s="21" t="n">
        <v>3616.6249</v>
      </c>
      <c r="F26" s="20" t="n">
        <v>723324.98</v>
      </c>
    </row>
    <row r="27">
      <c r="A27" s="22" t="n">
        <v>46265</v>
      </c>
      <c r="B27" t="inlineStr">
        <is>
          <t>ALPHA_EQ</t>
        </is>
      </c>
      <c r="C27" t="inlineStr">
        <is>
          <t>RELIANCE</t>
        </is>
      </c>
      <c r="D27" s="19" t="n">
        <v>9900</v>
      </c>
      <c r="E27" s="21" t="n">
        <v>1452.848</v>
      </c>
      <c r="F27" s="20" t="n">
        <v>14383195.2</v>
      </c>
    </row>
    <row r="28">
      <c r="A28" s="22" t="n">
        <v>46265</v>
      </c>
      <c r="B28" t="inlineStr">
        <is>
          <t>ALPHA_EQ</t>
        </is>
      </c>
      <c r="C28" t="inlineStr">
        <is>
          <t>ITC</t>
        </is>
      </c>
      <c r="D28" s="19" t="n">
        <v>16800</v>
      </c>
      <c r="E28" s="21" t="n">
        <v>474.9083</v>
      </c>
      <c r="F28" s="20" t="n">
        <v>7978459.44</v>
      </c>
    </row>
    <row r="29">
      <c r="A29" s="22" t="n">
        <v>46266</v>
      </c>
      <c r="B29" t="inlineStr">
        <is>
          <t>ALPHA_EQ</t>
        </is>
      </c>
      <c r="C29" t="inlineStr">
        <is>
          <t>HDFCBANK</t>
        </is>
      </c>
      <c r="D29" s="19" t="n">
        <v>20300</v>
      </c>
      <c r="E29" s="21" t="n">
        <v>1621.9468</v>
      </c>
      <c r="F29" s="20" t="n">
        <v>32925520.04</v>
      </c>
    </row>
    <row r="30">
      <c r="A30" s="22" t="n">
        <v>46266</v>
      </c>
      <c r="B30" t="inlineStr">
        <is>
          <t>ALPHA_EQ</t>
        </is>
      </c>
      <c r="C30" t="inlineStr">
        <is>
          <t>ICICIBANK</t>
        </is>
      </c>
      <c r="D30" s="19" t="n">
        <v>15800</v>
      </c>
      <c r="E30" s="21" t="n">
        <v>1192.8287</v>
      </c>
      <c r="F30" s="20" t="n">
        <v>18846693.46</v>
      </c>
    </row>
    <row r="31">
      <c r="A31" s="22" t="n">
        <v>46266</v>
      </c>
      <c r="B31" t="inlineStr">
        <is>
          <t>ALPHA_EQ</t>
        </is>
      </c>
      <c r="C31" t="inlineStr">
        <is>
          <t>INFY</t>
        </is>
      </c>
      <c r="D31" s="19" t="n">
        <v>9700</v>
      </c>
      <c r="E31" s="21" t="n">
        <v>1622.7456</v>
      </c>
      <c r="F31" s="20" t="n">
        <v>15740632.32</v>
      </c>
    </row>
    <row r="32">
      <c r="A32" s="22" t="n">
        <v>46266</v>
      </c>
      <c r="B32" t="inlineStr">
        <is>
          <t>ALPHA_EQ</t>
        </is>
      </c>
      <c r="C32" t="inlineStr">
        <is>
          <t>TCS</t>
        </is>
      </c>
      <c r="D32" s="19" t="n">
        <v>200</v>
      </c>
      <c r="E32" s="21" t="n">
        <v>3614.6988</v>
      </c>
      <c r="F32" s="20" t="n">
        <v>722939.76</v>
      </c>
    </row>
    <row r="33">
      <c r="A33" s="22" t="n">
        <v>46266</v>
      </c>
      <c r="B33" t="inlineStr">
        <is>
          <t>ALPHA_EQ</t>
        </is>
      </c>
      <c r="C33" t="inlineStr">
        <is>
          <t>RELIANCE</t>
        </is>
      </c>
      <c r="D33" s="19" t="n">
        <v>9900</v>
      </c>
      <c r="E33" s="21" t="n">
        <v>1452.0845</v>
      </c>
      <c r="F33" s="20" t="n">
        <v>14375636.55</v>
      </c>
    </row>
    <row r="34">
      <c r="A34" s="22" t="n">
        <v>46266</v>
      </c>
      <c r="B34" t="inlineStr">
        <is>
          <t>ALPHA_EQ</t>
        </is>
      </c>
      <c r="C34" t="inlineStr">
        <is>
          <t>ITC</t>
        </is>
      </c>
      <c r="D34" s="19" t="n">
        <v>14400</v>
      </c>
      <c r="E34" s="21" t="n">
        <v>485.602</v>
      </c>
      <c r="F34" s="20" t="n">
        <v>6992668.8</v>
      </c>
    </row>
    <row r="35">
      <c r="A35" s="22" t="n">
        <v>46267</v>
      </c>
      <c r="B35" t="inlineStr">
        <is>
          <t>ALPHA_EQ</t>
        </is>
      </c>
      <c r="C35" t="inlineStr">
        <is>
          <t>HDFCBANK</t>
        </is>
      </c>
      <c r="D35" s="19" t="n">
        <v>20300</v>
      </c>
      <c r="E35" s="21" t="n">
        <v>1621.8068</v>
      </c>
      <c r="F35" s="20" t="n">
        <v>32922678.04</v>
      </c>
    </row>
    <row r="36">
      <c r="A36" s="22" t="n">
        <v>46267</v>
      </c>
      <c r="B36" t="inlineStr">
        <is>
          <t>ALPHA_EQ</t>
        </is>
      </c>
      <c r="C36" t="inlineStr">
        <is>
          <t>ICICIBANK</t>
        </is>
      </c>
      <c r="D36" s="19" t="n">
        <v>15800</v>
      </c>
      <c r="E36" s="21" t="n">
        <v>1196.9804</v>
      </c>
      <c r="F36" s="20" t="n">
        <v>18912290.32</v>
      </c>
    </row>
    <row r="37">
      <c r="A37" s="22" t="n">
        <v>46267</v>
      </c>
      <c r="B37" t="inlineStr">
        <is>
          <t>ALPHA_EQ</t>
        </is>
      </c>
      <c r="C37" t="inlineStr">
        <is>
          <t>INFY</t>
        </is>
      </c>
      <c r="D37" s="19" t="n">
        <v>12700</v>
      </c>
      <c r="E37" s="21" t="n">
        <v>1635.421</v>
      </c>
      <c r="F37" s="20" t="n">
        <v>20769846.7</v>
      </c>
    </row>
    <row r="38">
      <c r="A38" s="22" t="n">
        <v>46267</v>
      </c>
      <c r="B38" t="inlineStr">
        <is>
          <t>ALPHA_EQ</t>
        </is>
      </c>
      <c r="C38" t="inlineStr">
        <is>
          <t>TCS</t>
        </is>
      </c>
      <c r="D38" s="19" t="n">
        <v>600</v>
      </c>
      <c r="E38" s="21" t="n">
        <v>3632.1016</v>
      </c>
      <c r="F38" s="20" t="n">
        <v>2179260.96</v>
      </c>
    </row>
    <row r="39">
      <c r="A39" s="22" t="n">
        <v>46267</v>
      </c>
      <c r="B39" t="inlineStr">
        <is>
          <t>ALPHA_EQ</t>
        </is>
      </c>
      <c r="C39" t="inlineStr">
        <is>
          <t>RELIANCE</t>
        </is>
      </c>
      <c r="D39" s="19" t="n">
        <v>9900</v>
      </c>
      <c r="E39" s="21" t="n">
        <v>1493.6437</v>
      </c>
      <c r="F39" s="20" t="n">
        <v>14787072.63</v>
      </c>
    </row>
    <row r="40">
      <c r="A40" s="22" t="n">
        <v>46267</v>
      </c>
      <c r="B40" t="inlineStr">
        <is>
          <t>ALPHA_EQ</t>
        </is>
      </c>
      <c r="C40" t="inlineStr">
        <is>
          <t>ITC</t>
        </is>
      </c>
      <c r="D40" s="19" t="n">
        <v>14400</v>
      </c>
      <c r="E40" s="21" t="n">
        <v>487.1381</v>
      </c>
      <c r="F40" s="20" t="n">
        <v>7014788.64</v>
      </c>
    </row>
    <row r="41">
      <c r="A41" s="22" t="n">
        <v>46268</v>
      </c>
      <c r="B41" t="inlineStr">
        <is>
          <t>ALPHA_EQ</t>
        </is>
      </c>
      <c r="C41" t="inlineStr">
        <is>
          <t>HDFCBANK</t>
        </is>
      </c>
      <c r="D41" s="19" t="n">
        <v>20700</v>
      </c>
      <c r="E41" s="21" t="n">
        <v>1632.245</v>
      </c>
      <c r="F41" s="20" t="n">
        <v>33787471.5</v>
      </c>
    </row>
    <row r="42">
      <c r="A42" s="22" t="n">
        <v>46268</v>
      </c>
      <c r="B42" t="inlineStr">
        <is>
          <t>ALPHA_EQ</t>
        </is>
      </c>
      <c r="C42" t="inlineStr">
        <is>
          <t>ICICIBANK</t>
        </is>
      </c>
      <c r="D42" s="19" t="n">
        <v>15800</v>
      </c>
      <c r="E42" s="21" t="n">
        <v>1249.1735</v>
      </c>
      <c r="F42" s="20" t="n">
        <v>19736941.3</v>
      </c>
    </row>
    <row r="43">
      <c r="A43" s="22" t="n">
        <v>46268</v>
      </c>
      <c r="B43" t="inlineStr">
        <is>
          <t>ALPHA_EQ</t>
        </is>
      </c>
      <c r="C43" t="inlineStr">
        <is>
          <t>INFY</t>
        </is>
      </c>
      <c r="D43" s="19" t="n">
        <v>9700</v>
      </c>
      <c r="E43" s="21" t="n">
        <v>1643.0447</v>
      </c>
      <c r="F43" s="20" t="n">
        <v>15937533.59</v>
      </c>
    </row>
    <row r="44">
      <c r="A44" s="22" t="n">
        <v>46268</v>
      </c>
      <c r="B44" t="inlineStr">
        <is>
          <t>ALPHA_EQ</t>
        </is>
      </c>
      <c r="C44" t="inlineStr">
        <is>
          <t>TCS</t>
        </is>
      </c>
      <c r="D44" s="19" t="n">
        <v>2000</v>
      </c>
      <c r="E44" s="21" t="n">
        <v>3679.2238</v>
      </c>
      <c r="F44" s="20" t="n">
        <v>7358447.6</v>
      </c>
    </row>
    <row r="45">
      <c r="A45" s="22" t="n">
        <v>46268</v>
      </c>
      <c r="B45" t="inlineStr">
        <is>
          <t>ALPHA_EQ</t>
        </is>
      </c>
      <c r="C45" t="inlineStr">
        <is>
          <t>RELIANCE</t>
        </is>
      </c>
      <c r="D45" s="19" t="n">
        <v>9900</v>
      </c>
      <c r="E45" s="21" t="n">
        <v>1479.342</v>
      </c>
      <c r="F45" s="20" t="n">
        <v>14645485.8</v>
      </c>
    </row>
    <row r="46">
      <c r="A46" s="22" t="n">
        <v>46268</v>
      </c>
      <c r="B46" t="inlineStr">
        <is>
          <t>ALPHA_EQ</t>
        </is>
      </c>
      <c r="C46" t="inlineStr">
        <is>
          <t>ITC</t>
        </is>
      </c>
      <c r="D46" s="19" t="n">
        <v>14400</v>
      </c>
      <c r="E46" s="21" t="n">
        <v>483.6898</v>
      </c>
      <c r="F46" s="20" t="n">
        <v>6965133.12</v>
      </c>
    </row>
    <row r="47">
      <c r="A47" s="22" t="n">
        <v>46269</v>
      </c>
      <c r="B47" t="inlineStr">
        <is>
          <t>ALPHA_EQ</t>
        </is>
      </c>
      <c r="C47" t="inlineStr">
        <is>
          <t>HDFCBANK</t>
        </is>
      </c>
      <c r="D47" s="19" t="n">
        <v>20700</v>
      </c>
      <c r="E47" s="21" t="n">
        <v>1654.8976</v>
      </c>
      <c r="F47" s="20" t="n">
        <v>34256380.32</v>
      </c>
    </row>
    <row r="48">
      <c r="A48" s="22" t="n">
        <v>46269</v>
      </c>
      <c r="B48" t="inlineStr">
        <is>
          <t>ALPHA_EQ</t>
        </is>
      </c>
      <c r="C48" t="inlineStr">
        <is>
          <t>ICICIBANK</t>
        </is>
      </c>
      <c r="D48" s="19" t="n">
        <v>15100</v>
      </c>
      <c r="E48" s="21" t="n">
        <v>1249.2586</v>
      </c>
      <c r="F48" s="20" t="n">
        <v>18863804.86</v>
      </c>
    </row>
    <row r="49">
      <c r="A49" s="22" t="n">
        <v>46269</v>
      </c>
      <c r="B49" t="inlineStr">
        <is>
          <t>ALPHA_EQ</t>
        </is>
      </c>
      <c r="C49" t="inlineStr">
        <is>
          <t>INFY</t>
        </is>
      </c>
      <c r="D49" s="19" t="n">
        <v>9700</v>
      </c>
      <c r="E49" s="21" t="n">
        <v>1648.9897</v>
      </c>
      <c r="F49" s="20" t="n">
        <v>15995200.09</v>
      </c>
    </row>
    <row r="50">
      <c r="A50" s="22" t="n">
        <v>46269</v>
      </c>
      <c r="B50" t="inlineStr">
        <is>
          <t>ALPHA_EQ</t>
        </is>
      </c>
      <c r="C50" t="inlineStr">
        <is>
          <t>TCS</t>
        </is>
      </c>
      <c r="D50" s="19" t="n">
        <v>4000</v>
      </c>
      <c r="E50" s="21" t="n">
        <v>3710.5042</v>
      </c>
      <c r="F50" s="20" t="n">
        <v>14842016.8</v>
      </c>
    </row>
    <row r="51">
      <c r="A51" s="22" t="n">
        <v>46269</v>
      </c>
      <c r="B51" t="inlineStr">
        <is>
          <t>ALPHA_EQ</t>
        </is>
      </c>
      <c r="C51" t="inlineStr">
        <is>
          <t>RELIANCE</t>
        </is>
      </c>
      <c r="D51" s="19" t="n">
        <v>9900</v>
      </c>
      <c r="E51" s="21" t="n">
        <v>1469.8413</v>
      </c>
      <c r="F51" s="20" t="n">
        <v>14551428.87</v>
      </c>
    </row>
    <row r="52">
      <c r="A52" s="22" t="n">
        <v>46269</v>
      </c>
      <c r="B52" t="inlineStr">
        <is>
          <t>ALPHA_EQ</t>
        </is>
      </c>
      <c r="C52" t="inlineStr">
        <is>
          <t>ITC</t>
        </is>
      </c>
      <c r="D52" s="19" t="n">
        <v>17400</v>
      </c>
      <c r="E52" s="21" t="n">
        <v>472.2039</v>
      </c>
      <c r="F52" s="20" t="n">
        <v>8216347.86</v>
      </c>
    </row>
    <row r="53">
      <c r="A53" s="22" t="n">
        <v>46272</v>
      </c>
      <c r="B53" t="inlineStr">
        <is>
          <t>ALPHA_EQ</t>
        </is>
      </c>
      <c r="C53" t="inlineStr">
        <is>
          <t>HDFCBANK</t>
        </is>
      </c>
      <c r="D53" s="19" t="n">
        <v>20700</v>
      </c>
      <c r="E53" s="21" t="n">
        <v>1631.9103</v>
      </c>
      <c r="F53" s="20" t="n">
        <v>33780543.21</v>
      </c>
    </row>
    <row r="54">
      <c r="A54" s="22" t="n">
        <v>46272</v>
      </c>
      <c r="B54" t="inlineStr">
        <is>
          <t>ALPHA_EQ</t>
        </is>
      </c>
      <c r="C54" t="inlineStr">
        <is>
          <t>ICICIBANK</t>
        </is>
      </c>
      <c r="D54" s="19" t="n">
        <v>15100</v>
      </c>
      <c r="E54" s="21" t="n">
        <v>1263.8127</v>
      </c>
      <c r="F54" s="20" t="n">
        <v>19083571.77</v>
      </c>
    </row>
    <row r="55">
      <c r="A55" s="22" t="n">
        <v>46272</v>
      </c>
      <c r="B55" t="inlineStr">
        <is>
          <t>ALPHA_EQ</t>
        </is>
      </c>
      <c r="C55" t="inlineStr">
        <is>
          <t>INFY</t>
        </is>
      </c>
      <c r="D55" s="19" t="n">
        <v>6700</v>
      </c>
      <c r="E55" s="21" t="n">
        <v>1654.3485</v>
      </c>
      <c r="F55" s="20" t="n">
        <v>11084134.95</v>
      </c>
    </row>
    <row r="56">
      <c r="A56" s="22" t="n">
        <v>46272</v>
      </c>
      <c r="B56" t="inlineStr">
        <is>
          <t>ALPHA_EQ</t>
        </is>
      </c>
      <c r="C56" t="inlineStr">
        <is>
          <t>TCS</t>
        </is>
      </c>
      <c r="D56" s="19" t="n">
        <v>1500</v>
      </c>
      <c r="E56" s="21" t="n">
        <v>3715.5307</v>
      </c>
      <c r="F56" s="20" t="n">
        <v>5573296.05</v>
      </c>
    </row>
    <row r="57">
      <c r="A57" s="22" t="n">
        <v>46272</v>
      </c>
      <c r="B57" t="inlineStr">
        <is>
          <t>ALPHA_EQ</t>
        </is>
      </c>
      <c r="C57" t="inlineStr">
        <is>
          <t>RELIANCE</t>
        </is>
      </c>
      <c r="D57" s="19" t="n">
        <v>9900</v>
      </c>
      <c r="E57" s="21" t="n">
        <v>1486.7637</v>
      </c>
      <c r="F57" s="20" t="n">
        <v>14718960.63</v>
      </c>
    </row>
    <row r="58">
      <c r="A58" s="22" t="n">
        <v>46272</v>
      </c>
      <c r="B58" t="inlineStr">
        <is>
          <t>ALPHA_EQ</t>
        </is>
      </c>
      <c r="C58" t="inlineStr">
        <is>
          <t>ITC</t>
        </is>
      </c>
      <c r="D58" s="19" t="n">
        <v>17400</v>
      </c>
      <c r="E58" s="21" t="n">
        <v>479.1896</v>
      </c>
      <c r="F58" s="20" t="n">
        <v>8337899.04</v>
      </c>
    </row>
    <row r="59">
      <c r="A59" s="22" t="n">
        <v>46273</v>
      </c>
      <c r="B59" t="inlineStr">
        <is>
          <t>ALPHA_EQ</t>
        </is>
      </c>
      <c r="C59" t="inlineStr">
        <is>
          <t>HDFCBANK</t>
        </is>
      </c>
      <c r="D59" s="19" t="n">
        <v>20700</v>
      </c>
      <c r="E59" s="21" t="n">
        <v>1607.7345</v>
      </c>
      <c r="F59" s="20" t="n">
        <v>33280104.15</v>
      </c>
    </row>
    <row r="60">
      <c r="A60" s="22" t="n">
        <v>46273</v>
      </c>
      <c r="B60" t="inlineStr">
        <is>
          <t>ALPHA_EQ</t>
        </is>
      </c>
      <c r="C60" t="inlineStr">
        <is>
          <t>ICICIBANK</t>
        </is>
      </c>
      <c r="D60" s="19" t="n">
        <v>15100</v>
      </c>
      <c r="E60" s="21" t="n">
        <v>1242.9557</v>
      </c>
      <c r="F60" s="20" t="n">
        <v>18768631.07</v>
      </c>
    </row>
    <row r="61">
      <c r="A61" s="22" t="n">
        <v>46273</v>
      </c>
      <c r="B61" t="inlineStr">
        <is>
          <t>ALPHA_EQ</t>
        </is>
      </c>
      <c r="C61" t="inlineStr">
        <is>
          <t>INFY</t>
        </is>
      </c>
      <c r="D61" s="19" t="n">
        <v>6700</v>
      </c>
      <c r="E61" s="21" t="n">
        <v>1641.6471</v>
      </c>
      <c r="F61" s="20" t="n">
        <v>10999035.57</v>
      </c>
    </row>
    <row r="62">
      <c r="A62" s="22" t="n">
        <v>46273</v>
      </c>
      <c r="B62" t="inlineStr">
        <is>
          <t>ALPHA_EQ</t>
        </is>
      </c>
      <c r="C62" t="inlineStr">
        <is>
          <t>TCS</t>
        </is>
      </c>
      <c r="D62" s="19" t="n">
        <v>1500</v>
      </c>
      <c r="E62" s="21" t="n">
        <v>3773.5031</v>
      </c>
      <c r="F62" s="20" t="n">
        <v>5660254.65</v>
      </c>
    </row>
    <row r="63">
      <c r="A63" s="22" t="n">
        <v>46273</v>
      </c>
      <c r="B63" t="inlineStr">
        <is>
          <t>ALPHA_EQ</t>
        </is>
      </c>
      <c r="C63" t="inlineStr">
        <is>
          <t>RELIANCE</t>
        </is>
      </c>
      <c r="D63" s="19" t="n">
        <v>11300</v>
      </c>
      <c r="E63" s="21" t="n">
        <v>1519.5697</v>
      </c>
      <c r="F63" s="20" t="n">
        <v>17171137.61</v>
      </c>
    </row>
    <row r="64">
      <c r="A64" s="22" t="n">
        <v>46273</v>
      </c>
      <c r="B64" t="inlineStr">
        <is>
          <t>ALPHA_EQ</t>
        </is>
      </c>
      <c r="C64" t="inlineStr">
        <is>
          <t>ITC</t>
        </is>
      </c>
      <c r="D64" s="19" t="n">
        <v>17400</v>
      </c>
      <c r="E64" s="21" t="n">
        <v>480.4326</v>
      </c>
      <c r="F64" s="20" t="n">
        <v>8359527.24</v>
      </c>
    </row>
    <row r="65">
      <c r="A65" s="22" t="n">
        <v>46274</v>
      </c>
      <c r="B65" t="inlineStr">
        <is>
          <t>ALPHA_EQ</t>
        </is>
      </c>
      <c r="C65" t="inlineStr">
        <is>
          <t>HDFCBANK</t>
        </is>
      </c>
      <c r="D65" s="19" t="n">
        <v>19700</v>
      </c>
      <c r="E65" s="21" t="n">
        <v>1622.4793</v>
      </c>
      <c r="F65" s="20" t="n">
        <v>31962842.21</v>
      </c>
    </row>
    <row r="66">
      <c r="A66" s="22" t="n">
        <v>46274</v>
      </c>
      <c r="B66" t="inlineStr">
        <is>
          <t>ALPHA_EQ</t>
        </is>
      </c>
      <c r="C66" t="inlineStr">
        <is>
          <t>ICICIBANK</t>
        </is>
      </c>
      <c r="D66" s="19" t="n">
        <v>15100</v>
      </c>
      <c r="E66" s="21" t="n">
        <v>1239.1713</v>
      </c>
      <c r="F66" s="20" t="n">
        <v>18711486.63</v>
      </c>
    </row>
    <row r="67">
      <c r="A67" s="22" t="n">
        <v>46274</v>
      </c>
      <c r="B67" t="inlineStr">
        <is>
          <t>ALPHA_EQ</t>
        </is>
      </c>
      <c r="C67" t="inlineStr">
        <is>
          <t>INFY</t>
        </is>
      </c>
      <c r="D67" s="19" t="n">
        <v>6700</v>
      </c>
      <c r="E67" s="21" t="n">
        <v>1619.4807</v>
      </c>
      <c r="F67" s="20" t="n">
        <v>10850520.69</v>
      </c>
    </row>
    <row r="68">
      <c r="A68" s="22" t="n">
        <v>46274</v>
      </c>
      <c r="B68" t="inlineStr">
        <is>
          <t>ALPHA_EQ</t>
        </is>
      </c>
      <c r="C68" t="inlineStr">
        <is>
          <t>TCS</t>
        </is>
      </c>
      <c r="D68" s="19" t="n">
        <v>1500</v>
      </c>
      <c r="E68" s="21" t="n">
        <v>3744.5683</v>
      </c>
      <c r="F68" s="20" t="n">
        <v>5616852.45</v>
      </c>
    </row>
    <row r="69">
      <c r="A69" s="22" t="n">
        <v>46274</v>
      </c>
      <c r="B69" t="inlineStr">
        <is>
          <t>ALPHA_EQ</t>
        </is>
      </c>
      <c r="C69" t="inlineStr">
        <is>
          <t>RELIANCE</t>
        </is>
      </c>
      <c r="D69" s="19" t="n">
        <v>11300</v>
      </c>
      <c r="E69" s="21" t="n">
        <v>1535.5386</v>
      </c>
      <c r="F69" s="20" t="n">
        <v>17351586.18</v>
      </c>
    </row>
    <row r="70">
      <c r="A70" s="22" t="n">
        <v>46274</v>
      </c>
      <c r="B70" t="inlineStr">
        <is>
          <t>ALPHA_EQ</t>
        </is>
      </c>
      <c r="C70" t="inlineStr">
        <is>
          <t>ITC</t>
        </is>
      </c>
      <c r="D70" s="19" t="n">
        <v>17000</v>
      </c>
      <c r="E70" s="21" t="n">
        <v>473.0373</v>
      </c>
      <c r="F70" s="20" t="n">
        <v>8041634.1</v>
      </c>
    </row>
    <row r="71">
      <c r="A71" s="22" t="n">
        <v>46275</v>
      </c>
      <c r="B71" t="inlineStr">
        <is>
          <t>ALPHA_EQ</t>
        </is>
      </c>
      <c r="C71" t="inlineStr">
        <is>
          <t>HDFCBANK</t>
        </is>
      </c>
      <c r="D71" s="19" t="n">
        <v>19700</v>
      </c>
      <c r="E71" s="21" t="n">
        <v>1632.8454</v>
      </c>
      <c r="F71" s="20" t="n">
        <v>32167054.38</v>
      </c>
    </row>
    <row r="72">
      <c r="A72" s="22" t="n">
        <v>46275</v>
      </c>
      <c r="B72" t="inlineStr">
        <is>
          <t>ALPHA_EQ</t>
        </is>
      </c>
      <c r="C72" t="inlineStr">
        <is>
          <t>ICICIBANK</t>
        </is>
      </c>
      <c r="D72" s="19" t="n">
        <v>15100</v>
      </c>
      <c r="E72" s="21" t="n">
        <v>1250.7109</v>
      </c>
      <c r="F72" s="20" t="n">
        <v>18885734.59</v>
      </c>
    </row>
    <row r="73">
      <c r="A73" s="22" t="n">
        <v>46275</v>
      </c>
      <c r="B73" t="inlineStr">
        <is>
          <t>ALPHA_EQ</t>
        </is>
      </c>
      <c r="C73" t="inlineStr">
        <is>
          <t>INFY</t>
        </is>
      </c>
      <c r="D73" s="19" t="n">
        <v>6900</v>
      </c>
      <c r="E73" s="21" t="n">
        <v>1611.6253</v>
      </c>
      <c r="F73" s="20" t="n">
        <v>11120214.57</v>
      </c>
    </row>
    <row r="74">
      <c r="A74" s="22" t="n">
        <v>46275</v>
      </c>
      <c r="B74" t="inlineStr">
        <is>
          <t>ALPHA_EQ</t>
        </is>
      </c>
      <c r="C74" t="inlineStr">
        <is>
          <t>TCS</t>
        </is>
      </c>
      <c r="D74" s="19" t="n">
        <v>1500</v>
      </c>
      <c r="E74" s="21" t="n">
        <v>3779.8491</v>
      </c>
      <c r="F74" s="20" t="n">
        <v>5669773.65</v>
      </c>
    </row>
    <row r="75">
      <c r="A75" s="22" t="n">
        <v>46275</v>
      </c>
      <c r="B75" t="inlineStr">
        <is>
          <t>ALPHA_EQ</t>
        </is>
      </c>
      <c r="C75" t="inlineStr">
        <is>
          <t>RELIANCE</t>
        </is>
      </c>
      <c r="D75" s="19" t="n">
        <v>11300</v>
      </c>
      <c r="E75" s="21" t="n">
        <v>1543.56</v>
      </c>
      <c r="F75" s="20" t="n">
        <v>17442228</v>
      </c>
    </row>
    <row r="76">
      <c r="A76" s="22" t="n">
        <v>46275</v>
      </c>
      <c r="B76" t="inlineStr">
        <is>
          <t>ALPHA_EQ</t>
        </is>
      </c>
      <c r="C76" t="inlineStr">
        <is>
          <t>ITC</t>
        </is>
      </c>
      <c r="D76" s="19" t="n">
        <v>16200</v>
      </c>
      <c r="E76" s="21" t="n">
        <v>474.2217</v>
      </c>
      <c r="F76" s="20" t="n">
        <v>7682391.54</v>
      </c>
    </row>
    <row r="77">
      <c r="A77" s="22" t="n">
        <v>46276</v>
      </c>
      <c r="B77" t="inlineStr">
        <is>
          <t>ALPHA_EQ</t>
        </is>
      </c>
      <c r="C77" t="inlineStr">
        <is>
          <t>HDFCBANK</t>
        </is>
      </c>
      <c r="D77" s="19" t="n">
        <v>17700</v>
      </c>
      <c r="E77" s="21" t="n">
        <v>1664.0416</v>
      </c>
      <c r="F77" s="20" t="n">
        <v>29453536.32</v>
      </c>
    </row>
    <row r="78">
      <c r="A78" s="22" t="n">
        <v>46276</v>
      </c>
      <c r="B78" t="inlineStr">
        <is>
          <t>ALPHA_EQ</t>
        </is>
      </c>
      <c r="C78" t="inlineStr">
        <is>
          <t>ICICIBANK</t>
        </is>
      </c>
      <c r="D78" s="19" t="n">
        <v>15100</v>
      </c>
      <c r="E78" s="21" t="n">
        <v>1250.0796</v>
      </c>
      <c r="F78" s="20" t="n">
        <v>18876201.96</v>
      </c>
    </row>
    <row r="79">
      <c r="A79" s="22" t="n">
        <v>46276</v>
      </c>
      <c r="B79" t="inlineStr">
        <is>
          <t>ALPHA_EQ</t>
        </is>
      </c>
      <c r="C79" t="inlineStr">
        <is>
          <t>INFY</t>
        </is>
      </c>
      <c r="D79" s="19" t="n">
        <v>6900</v>
      </c>
      <c r="E79" s="21" t="n">
        <v>1626.0839</v>
      </c>
      <c r="F79" s="20" t="n">
        <v>11219978.91</v>
      </c>
    </row>
    <row r="80">
      <c r="A80" s="22" t="n">
        <v>46276</v>
      </c>
      <c r="B80" t="inlineStr">
        <is>
          <t>ALPHA_EQ</t>
        </is>
      </c>
      <c r="C80" t="inlineStr">
        <is>
          <t>TCS</t>
        </is>
      </c>
      <c r="D80" s="19" t="n">
        <v>1500</v>
      </c>
      <c r="E80" s="21" t="n">
        <v>3828.7378</v>
      </c>
      <c r="F80" s="20" t="n">
        <v>5743106.7</v>
      </c>
    </row>
    <row r="81">
      <c r="A81" s="22" t="n">
        <v>46276</v>
      </c>
      <c r="B81" t="inlineStr">
        <is>
          <t>ALPHA_EQ</t>
        </is>
      </c>
      <c r="C81" t="inlineStr">
        <is>
          <t>RELIANCE</t>
        </is>
      </c>
      <c r="D81" s="19" t="n">
        <v>11300</v>
      </c>
      <c r="E81" s="21" t="n">
        <v>1502.4636</v>
      </c>
      <c r="F81" s="20" t="n">
        <v>16977838.68</v>
      </c>
    </row>
    <row r="82">
      <c r="A82" s="22" t="n">
        <v>46276</v>
      </c>
      <c r="B82" t="inlineStr">
        <is>
          <t>ALPHA_EQ</t>
        </is>
      </c>
      <c r="C82" t="inlineStr">
        <is>
          <t>ITC</t>
        </is>
      </c>
      <c r="D82" s="19" t="n">
        <v>16200</v>
      </c>
      <c r="E82" s="21" t="n">
        <v>466.9254</v>
      </c>
      <c r="F82" s="20" t="n">
        <v>7564191.48</v>
      </c>
    </row>
    <row r="83">
      <c r="A83" s="22" t="n">
        <v>46279</v>
      </c>
      <c r="B83" t="inlineStr">
        <is>
          <t>ALPHA_EQ</t>
        </is>
      </c>
      <c r="C83" t="inlineStr">
        <is>
          <t>HDFCBANK</t>
        </is>
      </c>
      <c r="D83" s="19" t="n">
        <v>17700</v>
      </c>
      <c r="E83" s="21" t="n">
        <v>1684.8246</v>
      </c>
      <c r="F83" s="20" t="n">
        <v>29821395.42</v>
      </c>
    </row>
    <row r="84">
      <c r="A84" s="22" t="n">
        <v>46279</v>
      </c>
      <c r="B84" t="inlineStr">
        <is>
          <t>ALPHA_EQ</t>
        </is>
      </c>
      <c r="C84" t="inlineStr">
        <is>
          <t>ICICIBANK</t>
        </is>
      </c>
      <c r="D84" s="19" t="n">
        <v>15100</v>
      </c>
      <c r="E84" s="21" t="n">
        <v>1256.9705</v>
      </c>
      <c r="F84" s="20" t="n">
        <v>18980254.55</v>
      </c>
    </row>
    <row r="85">
      <c r="A85" s="22" t="n">
        <v>46279</v>
      </c>
      <c r="B85" t="inlineStr">
        <is>
          <t>ALPHA_EQ</t>
        </is>
      </c>
      <c r="C85" t="inlineStr">
        <is>
          <t>INFY</t>
        </is>
      </c>
      <c r="D85" s="19" t="n">
        <v>7500</v>
      </c>
      <c r="E85" s="21" t="n">
        <v>1661.6246</v>
      </c>
      <c r="F85" s="20" t="n">
        <v>12462184.5</v>
      </c>
    </row>
    <row r="86">
      <c r="A86" s="22" t="n">
        <v>46279</v>
      </c>
      <c r="B86" t="inlineStr">
        <is>
          <t>ALPHA_EQ</t>
        </is>
      </c>
      <c r="C86" t="inlineStr">
        <is>
          <t>TCS</t>
        </is>
      </c>
      <c r="D86" s="19" t="n">
        <v>1500</v>
      </c>
      <c r="E86" s="21" t="n">
        <v>3819.1194</v>
      </c>
      <c r="F86" s="20" t="n">
        <v>5728679.1</v>
      </c>
    </row>
    <row r="87">
      <c r="A87" s="22" t="n">
        <v>46279</v>
      </c>
      <c r="B87" t="inlineStr">
        <is>
          <t>ALPHA_EQ</t>
        </is>
      </c>
      <c r="C87" t="inlineStr">
        <is>
          <t>RELIANCE</t>
        </is>
      </c>
      <c r="D87" s="19" t="n">
        <v>11300</v>
      </c>
      <c r="E87" s="21" t="n">
        <v>1487.4497</v>
      </c>
      <c r="F87" s="20" t="n">
        <v>16808181.61</v>
      </c>
    </row>
    <row r="88">
      <c r="A88" s="22" t="n">
        <v>46279</v>
      </c>
      <c r="B88" t="inlineStr">
        <is>
          <t>ALPHA_EQ</t>
        </is>
      </c>
      <c r="C88" t="inlineStr">
        <is>
          <t>ITC</t>
        </is>
      </c>
      <c r="D88" s="19" t="n">
        <v>16200</v>
      </c>
      <c r="E88" s="21" t="n">
        <v>483.5031</v>
      </c>
      <c r="F88" s="20" t="n">
        <v>7832750.22</v>
      </c>
    </row>
    <row r="89">
      <c r="A89" s="22" t="n">
        <v>46280</v>
      </c>
      <c r="B89" t="inlineStr">
        <is>
          <t>ALPHA_EQ</t>
        </is>
      </c>
      <c r="C89" t="inlineStr">
        <is>
          <t>HDFCBANK</t>
        </is>
      </c>
      <c r="D89" s="19" t="n">
        <v>17700</v>
      </c>
      <c r="E89" s="21" t="n">
        <v>1683.9462</v>
      </c>
      <c r="F89" s="20" t="n">
        <v>29805847.74</v>
      </c>
    </row>
    <row r="90">
      <c r="A90" s="22" t="n">
        <v>46280</v>
      </c>
      <c r="B90" t="inlineStr">
        <is>
          <t>ALPHA_EQ</t>
        </is>
      </c>
      <c r="C90" t="inlineStr">
        <is>
          <t>ICICIBANK</t>
        </is>
      </c>
      <c r="D90" s="19" t="n">
        <v>15100</v>
      </c>
      <c r="E90" s="21" t="n">
        <v>1259.5388</v>
      </c>
      <c r="F90" s="20" t="n">
        <v>19019035.88</v>
      </c>
    </row>
    <row r="91">
      <c r="A91" s="22" t="n">
        <v>46280</v>
      </c>
      <c r="B91" t="inlineStr">
        <is>
          <t>ALPHA_EQ</t>
        </is>
      </c>
      <c r="C91" t="inlineStr">
        <is>
          <t>INFY</t>
        </is>
      </c>
      <c r="D91" s="19" t="n">
        <v>7500</v>
      </c>
      <c r="E91" s="21" t="n">
        <v>1685.5176</v>
      </c>
      <c r="F91" s="20" t="n">
        <v>12641382</v>
      </c>
    </row>
    <row r="92">
      <c r="A92" s="22" t="n">
        <v>46280</v>
      </c>
      <c r="B92" t="inlineStr">
        <is>
          <t>ALPHA_EQ</t>
        </is>
      </c>
      <c r="C92" t="inlineStr">
        <is>
          <t>TCS</t>
        </is>
      </c>
      <c r="D92" s="19" t="n">
        <v>7500</v>
      </c>
      <c r="E92" s="21" t="n">
        <v>3746.5683</v>
      </c>
      <c r="F92" s="20" t="n">
        <v>28099262.25</v>
      </c>
    </row>
    <row r="93">
      <c r="A93" s="22" t="n">
        <v>46280</v>
      </c>
      <c r="B93" t="inlineStr">
        <is>
          <t>ALPHA_EQ</t>
        </is>
      </c>
      <c r="C93" t="inlineStr">
        <is>
          <t>RELIANCE</t>
        </is>
      </c>
      <c r="D93" s="19" t="n">
        <v>12800</v>
      </c>
      <c r="E93" s="21" t="n">
        <v>1474.8666</v>
      </c>
      <c r="F93" s="20" t="n">
        <v>18878292.48</v>
      </c>
    </row>
    <row r="94">
      <c r="A94" s="22" t="n">
        <v>46280</v>
      </c>
      <c r="B94" t="inlineStr">
        <is>
          <t>ALPHA_EQ</t>
        </is>
      </c>
      <c r="C94" t="inlineStr">
        <is>
          <t>ITC</t>
        </is>
      </c>
      <c r="D94" s="19" t="n">
        <v>16200</v>
      </c>
      <c r="E94" s="21" t="n">
        <v>489.2516</v>
      </c>
      <c r="F94" s="20" t="n">
        <v>7925875.92</v>
      </c>
    </row>
    <row r="95">
      <c r="A95" s="22" t="n">
        <v>46281</v>
      </c>
      <c r="B95" t="inlineStr">
        <is>
          <t>ALPHA_EQ</t>
        </is>
      </c>
      <c r="C95" t="inlineStr">
        <is>
          <t>HDFCBANK</t>
        </is>
      </c>
      <c r="D95" s="19" t="n">
        <v>17700</v>
      </c>
      <c r="E95" s="21" t="n">
        <v>1679.5834</v>
      </c>
      <c r="F95" s="20" t="n">
        <v>29728626.18</v>
      </c>
    </row>
    <row r="96">
      <c r="A96" s="22" t="n">
        <v>46281</v>
      </c>
      <c r="B96" t="inlineStr">
        <is>
          <t>ALPHA_EQ</t>
        </is>
      </c>
      <c r="C96" t="inlineStr">
        <is>
          <t>ICICIBANK</t>
        </is>
      </c>
      <c r="D96" s="19" t="n">
        <v>15100</v>
      </c>
      <c r="E96" s="21" t="n">
        <v>1243.9461</v>
      </c>
      <c r="F96" s="20" t="n">
        <v>18783586.11</v>
      </c>
    </row>
    <row r="97">
      <c r="A97" s="22" t="n">
        <v>46281</v>
      </c>
      <c r="B97" t="inlineStr">
        <is>
          <t>ALPHA_EQ</t>
        </is>
      </c>
      <c r="C97" t="inlineStr">
        <is>
          <t>INFY</t>
        </is>
      </c>
      <c r="D97" s="19" t="n">
        <v>7500</v>
      </c>
      <c r="E97" s="21" t="n">
        <v>1711.5513</v>
      </c>
      <c r="F97" s="20" t="n">
        <v>12836634.75</v>
      </c>
    </row>
    <row r="98">
      <c r="A98" s="22" t="n">
        <v>46281</v>
      </c>
      <c r="B98" t="inlineStr">
        <is>
          <t>ALPHA_EQ</t>
        </is>
      </c>
      <c r="C98" t="inlineStr">
        <is>
          <t>TCS</t>
        </is>
      </c>
      <c r="D98" s="19" t="n">
        <v>7500</v>
      </c>
      <c r="E98" s="21" t="n">
        <v>3711.8403</v>
      </c>
      <c r="F98" s="20" t="n">
        <v>27838802.25</v>
      </c>
    </row>
    <row r="99">
      <c r="A99" s="22" t="n">
        <v>46281</v>
      </c>
      <c r="B99" t="inlineStr">
        <is>
          <t>ALPHA_EQ</t>
        </is>
      </c>
      <c r="C99" t="inlineStr">
        <is>
          <t>RELIANCE</t>
        </is>
      </c>
      <c r="D99" s="19" t="n">
        <v>10300</v>
      </c>
      <c r="E99" s="21" t="n">
        <v>1464.0939</v>
      </c>
      <c r="F99" s="20" t="n">
        <v>15080167.17</v>
      </c>
    </row>
    <row r="100">
      <c r="A100" s="22" t="n">
        <v>46281</v>
      </c>
      <c r="B100" t="inlineStr">
        <is>
          <t>ALPHA_EQ</t>
        </is>
      </c>
      <c r="C100" t="inlineStr">
        <is>
          <t>ITC</t>
        </is>
      </c>
      <c r="D100" s="19" t="n">
        <v>16200</v>
      </c>
      <c r="E100" s="21" t="n">
        <v>492.3949</v>
      </c>
      <c r="F100" s="20" t="n">
        <v>7976797.38</v>
      </c>
    </row>
    <row r="101">
      <c r="A101" s="22" t="n">
        <v>46282</v>
      </c>
      <c r="B101" t="inlineStr">
        <is>
          <t>ALPHA_EQ</t>
        </is>
      </c>
      <c r="C101" t="inlineStr">
        <is>
          <t>HDFCBANK</t>
        </is>
      </c>
      <c r="D101" s="19" t="n">
        <v>17700</v>
      </c>
      <c r="E101" s="21" t="n">
        <v>1732.5681</v>
      </c>
      <c r="F101" s="20" t="n">
        <v>30666455.37</v>
      </c>
    </row>
    <row r="102">
      <c r="A102" s="22" t="n">
        <v>46282</v>
      </c>
      <c r="B102" t="inlineStr">
        <is>
          <t>ALPHA_EQ</t>
        </is>
      </c>
      <c r="C102" t="inlineStr">
        <is>
          <t>ICICIBANK</t>
        </is>
      </c>
      <c r="D102" s="19" t="n">
        <v>15200</v>
      </c>
      <c r="E102" s="21" t="n">
        <v>1253.9333</v>
      </c>
      <c r="F102" s="20" t="n">
        <v>19059786.16</v>
      </c>
    </row>
    <row r="103">
      <c r="A103" s="22" t="n">
        <v>46282</v>
      </c>
      <c r="B103" t="inlineStr">
        <is>
          <t>ALPHA_EQ</t>
        </is>
      </c>
      <c r="C103" t="inlineStr">
        <is>
          <t>INFY</t>
        </is>
      </c>
      <c r="D103" s="19" t="n">
        <v>7400</v>
      </c>
      <c r="E103" s="21" t="n">
        <v>1731.3747</v>
      </c>
      <c r="F103" s="20" t="n">
        <v>12812172.78</v>
      </c>
    </row>
    <row r="104">
      <c r="A104" s="22" t="n">
        <v>46282</v>
      </c>
      <c r="B104" t="inlineStr">
        <is>
          <t>ALPHA_EQ</t>
        </is>
      </c>
      <c r="C104" t="inlineStr">
        <is>
          <t>TCS</t>
        </is>
      </c>
      <c r="D104" s="19" t="n">
        <v>7500</v>
      </c>
      <c r="E104" s="21" t="n">
        <v>3724.1162</v>
      </c>
      <c r="F104" s="20" t="n">
        <v>27930871.5</v>
      </c>
    </row>
    <row r="105">
      <c r="A105" s="22" t="n">
        <v>46282</v>
      </c>
      <c r="B105" t="inlineStr">
        <is>
          <t>ALPHA_EQ</t>
        </is>
      </c>
      <c r="C105" t="inlineStr">
        <is>
          <t>RELIANCE</t>
        </is>
      </c>
      <c r="D105" s="19" t="n">
        <v>10300</v>
      </c>
      <c r="E105" s="21" t="n">
        <v>1477.9978</v>
      </c>
      <c r="F105" s="20" t="n">
        <v>15223377.34</v>
      </c>
    </row>
    <row r="106">
      <c r="A106" s="22" t="n">
        <v>46282</v>
      </c>
      <c r="B106" t="inlineStr">
        <is>
          <t>ALPHA_EQ</t>
        </is>
      </c>
      <c r="C106" t="inlineStr">
        <is>
          <t>ITC</t>
        </is>
      </c>
      <c r="D106" s="19" t="n">
        <v>18200</v>
      </c>
      <c r="E106" s="21" t="n">
        <v>491.8774</v>
      </c>
      <c r="F106" s="20" t="n">
        <v>8952168.68</v>
      </c>
    </row>
    <row r="107">
      <c r="A107" s="22" t="n">
        <v>46283</v>
      </c>
      <c r="B107" t="inlineStr">
        <is>
          <t>ALPHA_EQ</t>
        </is>
      </c>
      <c r="C107" t="inlineStr">
        <is>
          <t>HDFCBANK</t>
        </is>
      </c>
      <c r="D107" s="19" t="n">
        <v>17700</v>
      </c>
      <c r="E107" s="21" t="n">
        <v>1727.7764</v>
      </c>
      <c r="F107" s="20" t="n">
        <v>30581642.28</v>
      </c>
    </row>
    <row r="108">
      <c r="A108" s="22" t="n">
        <v>46283</v>
      </c>
      <c r="B108" t="inlineStr">
        <is>
          <t>ALPHA_EQ</t>
        </is>
      </c>
      <c r="C108" t="inlineStr">
        <is>
          <t>ICICIBANK</t>
        </is>
      </c>
      <c r="D108" s="19" t="n">
        <v>15200</v>
      </c>
      <c r="E108" s="21" t="n">
        <v>1241.5741</v>
      </c>
      <c r="F108" s="20" t="n">
        <v>18871926.32</v>
      </c>
    </row>
    <row r="109">
      <c r="A109" s="22" t="n">
        <v>46283</v>
      </c>
      <c r="B109" t="inlineStr">
        <is>
          <t>ALPHA_EQ</t>
        </is>
      </c>
      <c r="C109" t="inlineStr">
        <is>
          <t>INFY</t>
        </is>
      </c>
      <c r="D109" s="19" t="n">
        <v>4700</v>
      </c>
      <c r="E109" s="21" t="n">
        <v>1749.5173</v>
      </c>
      <c r="F109" s="20" t="n">
        <v>8222731.31</v>
      </c>
    </row>
    <row r="110">
      <c r="A110" s="22" t="n">
        <v>46283</v>
      </c>
      <c r="B110" t="inlineStr">
        <is>
          <t>ALPHA_EQ</t>
        </is>
      </c>
      <c r="C110" t="inlineStr">
        <is>
          <t>TCS</t>
        </is>
      </c>
      <c r="D110" s="19" t="n">
        <v>7500</v>
      </c>
      <c r="E110" s="21" t="n">
        <v>3748.3461</v>
      </c>
      <c r="F110" s="20" t="n">
        <v>28112595.75</v>
      </c>
    </row>
    <row r="111">
      <c r="A111" s="22" t="n">
        <v>46283</v>
      </c>
      <c r="B111" t="inlineStr">
        <is>
          <t>ALPHA_EQ</t>
        </is>
      </c>
      <c r="C111" t="inlineStr">
        <is>
          <t>RELIANCE</t>
        </is>
      </c>
      <c r="D111" s="19" t="n">
        <v>10300</v>
      </c>
      <c r="E111" s="21" t="n">
        <v>1471.6014</v>
      </c>
      <c r="F111" s="20" t="n">
        <v>15157494.42</v>
      </c>
    </row>
    <row r="112">
      <c r="A112" s="22" t="n">
        <v>46283</v>
      </c>
      <c r="B112" t="inlineStr">
        <is>
          <t>ALPHA_EQ</t>
        </is>
      </c>
      <c r="C112" t="inlineStr">
        <is>
          <t>ITC</t>
        </is>
      </c>
      <c r="D112" s="19" t="n">
        <v>10200</v>
      </c>
      <c r="E112" s="21" t="n">
        <v>481.6969</v>
      </c>
      <c r="F112" s="20" t="n">
        <v>4913308.38</v>
      </c>
    </row>
    <row r="113">
      <c r="A113" s="22" t="n">
        <v>46286</v>
      </c>
      <c r="B113" t="inlineStr">
        <is>
          <t>ALPHA_EQ</t>
        </is>
      </c>
      <c r="C113" t="inlineStr">
        <is>
          <t>HDFCBANK</t>
        </is>
      </c>
      <c r="D113" s="19" t="n">
        <v>16100</v>
      </c>
      <c r="E113" s="21" t="n">
        <v>1712.7116</v>
      </c>
      <c r="F113" s="20" t="n">
        <v>27574656.76</v>
      </c>
    </row>
    <row r="114">
      <c r="A114" s="22" t="n">
        <v>46286</v>
      </c>
      <c r="B114" t="inlineStr">
        <is>
          <t>ALPHA_EQ</t>
        </is>
      </c>
      <c r="C114" t="inlineStr">
        <is>
          <t>ICICIBANK</t>
        </is>
      </c>
      <c r="D114" s="19" t="n">
        <v>15200</v>
      </c>
      <c r="E114" s="21" t="n">
        <v>1272.6542</v>
      </c>
      <c r="F114" s="20" t="n">
        <v>19344343.84</v>
      </c>
    </row>
    <row r="115">
      <c r="A115" s="22" t="n">
        <v>46286</v>
      </c>
      <c r="B115" t="inlineStr">
        <is>
          <t>ALPHA_EQ</t>
        </is>
      </c>
      <c r="C115" t="inlineStr">
        <is>
          <t>INFY</t>
        </is>
      </c>
      <c r="D115" s="19" t="n">
        <v>4700</v>
      </c>
      <c r="E115" s="21" t="n">
        <v>1755.2328</v>
      </c>
      <c r="F115" s="20" t="n">
        <v>8249594.16</v>
      </c>
    </row>
    <row r="116">
      <c r="A116" s="22" t="n">
        <v>46286</v>
      </c>
      <c r="B116" t="inlineStr">
        <is>
          <t>ALPHA_EQ</t>
        </is>
      </c>
      <c r="C116" t="inlineStr">
        <is>
          <t>TCS</t>
        </is>
      </c>
      <c r="D116" s="19" t="n">
        <v>7500</v>
      </c>
      <c r="E116" s="21" t="n">
        <v>3814.8056</v>
      </c>
      <c r="F116" s="20" t="n">
        <v>28611042</v>
      </c>
    </row>
    <row r="117">
      <c r="A117" s="22" t="n">
        <v>46286</v>
      </c>
      <c r="B117" t="inlineStr">
        <is>
          <t>ALPHA_EQ</t>
        </is>
      </c>
      <c r="C117" t="inlineStr">
        <is>
          <t>RELIANCE</t>
        </is>
      </c>
      <c r="D117" s="19" t="n">
        <v>10300</v>
      </c>
      <c r="E117" s="21" t="n">
        <v>1490.0187</v>
      </c>
      <c r="F117" s="20" t="n">
        <v>15347192.61</v>
      </c>
    </row>
    <row r="118">
      <c r="A118" s="22" t="n">
        <v>46286</v>
      </c>
      <c r="B118" t="inlineStr">
        <is>
          <t>ALPHA_EQ</t>
        </is>
      </c>
      <c r="C118" t="inlineStr">
        <is>
          <t>ITC</t>
        </is>
      </c>
      <c r="D118" s="19" t="n">
        <v>10200</v>
      </c>
      <c r="E118" s="21" t="n">
        <v>481.4252</v>
      </c>
      <c r="F118" s="20" t="n">
        <v>4910537.04</v>
      </c>
    </row>
    <row r="119">
      <c r="A119" s="22" t="n">
        <v>46287</v>
      </c>
      <c r="B119" t="inlineStr">
        <is>
          <t>ALPHA_EQ</t>
        </is>
      </c>
      <c r="C119" t="inlineStr">
        <is>
          <t>HDFCBANK</t>
        </is>
      </c>
      <c r="D119" s="19" t="n">
        <v>16100</v>
      </c>
      <c r="E119" s="21" t="n">
        <v>1690.5146</v>
      </c>
      <c r="F119" s="20" t="n">
        <v>27217285.06</v>
      </c>
    </row>
    <row r="120">
      <c r="A120" s="22" t="n">
        <v>46287</v>
      </c>
      <c r="B120" t="inlineStr">
        <is>
          <t>ALPHA_EQ</t>
        </is>
      </c>
      <c r="C120" t="inlineStr">
        <is>
          <t>ICICIBANK</t>
        </is>
      </c>
      <c r="D120" s="19" t="n">
        <v>15200</v>
      </c>
      <c r="E120" s="21" t="n">
        <v>1265.1867</v>
      </c>
      <c r="F120" s="20" t="n">
        <v>19230837.84</v>
      </c>
    </row>
    <row r="121">
      <c r="A121" s="22" t="n">
        <v>46287</v>
      </c>
      <c r="B121" t="inlineStr">
        <is>
          <t>ALPHA_EQ</t>
        </is>
      </c>
      <c r="C121" t="inlineStr">
        <is>
          <t>INFY</t>
        </is>
      </c>
      <c r="D121" s="19" t="n">
        <v>4700</v>
      </c>
      <c r="E121" s="21" t="n">
        <v>1775.4202</v>
      </c>
      <c r="F121" s="20" t="n">
        <v>8344474.94</v>
      </c>
    </row>
    <row r="122">
      <c r="A122" s="22" t="n">
        <v>46287</v>
      </c>
      <c r="B122" t="inlineStr">
        <is>
          <t>ALPHA_EQ</t>
        </is>
      </c>
      <c r="C122" t="inlineStr">
        <is>
          <t>TCS</t>
        </is>
      </c>
      <c r="D122" s="19" t="n">
        <v>9000</v>
      </c>
      <c r="E122" s="21" t="n">
        <v>3775.338</v>
      </c>
      <c r="F122" s="20" t="n">
        <v>33978042</v>
      </c>
    </row>
    <row r="123">
      <c r="A123" s="22" t="n">
        <v>46287</v>
      </c>
      <c r="B123" t="inlineStr">
        <is>
          <t>ALPHA_EQ</t>
        </is>
      </c>
      <c r="C123" t="inlineStr">
        <is>
          <t>RELIANCE</t>
        </is>
      </c>
      <c r="D123" s="19" t="n">
        <v>8800</v>
      </c>
      <c r="E123" s="21" t="n">
        <v>1492.9018</v>
      </c>
      <c r="F123" s="20" t="n">
        <v>13137535.84</v>
      </c>
    </row>
    <row r="124">
      <c r="A124" s="22" t="n">
        <v>46287</v>
      </c>
      <c r="B124" t="inlineStr">
        <is>
          <t>ALPHA_EQ</t>
        </is>
      </c>
      <c r="C124" t="inlineStr">
        <is>
          <t>ITC</t>
        </is>
      </c>
      <c r="D124" s="19" t="n">
        <v>10200</v>
      </c>
      <c r="E124" s="21" t="n">
        <v>474.2781</v>
      </c>
      <c r="F124" s="20" t="n">
        <v>4837636.62</v>
      </c>
    </row>
    <row r="125">
      <c r="A125" s="22" t="n">
        <v>46288</v>
      </c>
      <c r="B125" t="inlineStr">
        <is>
          <t>ALPHA_EQ</t>
        </is>
      </c>
      <c r="C125" t="inlineStr">
        <is>
          <t>HDFCBANK</t>
        </is>
      </c>
      <c r="D125" s="19" t="n">
        <v>8100</v>
      </c>
      <c r="E125" s="21" t="n">
        <v>1693.6345</v>
      </c>
      <c r="F125" s="20" t="n">
        <v>13718439.45</v>
      </c>
    </row>
    <row r="126">
      <c r="A126" s="22" t="n">
        <v>46288</v>
      </c>
      <c r="B126" t="inlineStr">
        <is>
          <t>ALPHA_EQ</t>
        </is>
      </c>
      <c r="C126" t="inlineStr">
        <is>
          <t>ICICIBANK</t>
        </is>
      </c>
      <c r="D126" s="19" t="n">
        <v>15200</v>
      </c>
      <c r="E126" s="21" t="n">
        <v>1277.3568</v>
      </c>
      <c r="F126" s="20" t="n">
        <v>19415823.36</v>
      </c>
    </row>
    <row r="127">
      <c r="A127" s="22" t="n">
        <v>46288</v>
      </c>
      <c r="B127" t="inlineStr">
        <is>
          <t>ALPHA_EQ</t>
        </is>
      </c>
      <c r="C127" t="inlineStr">
        <is>
          <t>INFY</t>
        </is>
      </c>
      <c r="D127" s="19" t="n">
        <v>4700</v>
      </c>
      <c r="E127" s="21" t="n">
        <v>1820.7494</v>
      </c>
      <c r="F127" s="20" t="n">
        <v>8557522.18</v>
      </c>
    </row>
    <row r="128">
      <c r="A128" s="22" t="n">
        <v>46288</v>
      </c>
      <c r="B128" t="inlineStr">
        <is>
          <t>ALPHA_EQ</t>
        </is>
      </c>
      <c r="C128" t="inlineStr">
        <is>
          <t>TCS</t>
        </is>
      </c>
      <c r="D128" s="19" t="n">
        <v>9000</v>
      </c>
      <c r="E128" s="21" t="n">
        <v>3778.0657</v>
      </c>
      <c r="F128" s="20" t="n">
        <v>34002591.3</v>
      </c>
    </row>
    <row r="129">
      <c r="A129" s="22" t="n">
        <v>46288</v>
      </c>
      <c r="B129" t="inlineStr">
        <is>
          <t>ALPHA_EQ</t>
        </is>
      </c>
      <c r="C129" t="inlineStr">
        <is>
          <t>RELIANCE</t>
        </is>
      </c>
      <c r="D129" s="19" t="n">
        <v>14800</v>
      </c>
      <c r="E129" s="21" t="n">
        <v>1486.4941</v>
      </c>
      <c r="F129" s="20" t="n">
        <v>22000112.68</v>
      </c>
    </row>
    <row r="130">
      <c r="A130" s="22" t="n">
        <v>46288</v>
      </c>
      <c r="B130" t="inlineStr">
        <is>
          <t>ALPHA_EQ</t>
        </is>
      </c>
      <c r="C130" t="inlineStr">
        <is>
          <t>ITC</t>
        </is>
      </c>
      <c r="D130" s="19" t="n">
        <v>10200</v>
      </c>
      <c r="E130" s="21" t="n">
        <v>477.4378</v>
      </c>
      <c r="F130" s="20" t="n">
        <v>4869865.56</v>
      </c>
    </row>
    <row r="131">
      <c r="A131" s="22" t="n">
        <v>46289</v>
      </c>
      <c r="B131" t="inlineStr">
        <is>
          <t>ALPHA_EQ</t>
        </is>
      </c>
      <c r="C131" t="inlineStr">
        <is>
          <t>HDFCBANK</t>
        </is>
      </c>
      <c r="D131" s="19" t="n">
        <v>7700</v>
      </c>
      <c r="E131" s="21" t="n">
        <v>1697.7734</v>
      </c>
      <c r="F131" s="20" t="n">
        <v>13072855.18</v>
      </c>
    </row>
    <row r="132">
      <c r="A132" s="22" t="n">
        <v>46289</v>
      </c>
      <c r="B132" t="inlineStr">
        <is>
          <t>ALPHA_EQ</t>
        </is>
      </c>
      <c r="C132" t="inlineStr">
        <is>
          <t>ICICIBANK</t>
        </is>
      </c>
      <c r="D132" s="19" t="n">
        <v>15200</v>
      </c>
      <c r="E132" s="21" t="n">
        <v>1278.2899</v>
      </c>
      <c r="F132" s="20" t="n">
        <v>19430006.48</v>
      </c>
    </row>
    <row r="133">
      <c r="A133" s="22" t="n">
        <v>46289</v>
      </c>
      <c r="B133" t="inlineStr">
        <is>
          <t>ALPHA_EQ</t>
        </is>
      </c>
      <c r="C133" t="inlineStr">
        <is>
          <t>INFY</t>
        </is>
      </c>
      <c r="D133" s="19" t="n">
        <v>4700</v>
      </c>
      <c r="E133" s="21" t="n">
        <v>1813.6725</v>
      </c>
      <c r="F133" s="20" t="n">
        <v>8524260.75</v>
      </c>
    </row>
    <row r="134">
      <c r="A134" s="22" t="n">
        <v>46289</v>
      </c>
      <c r="B134" t="inlineStr">
        <is>
          <t>ALPHA_EQ</t>
        </is>
      </c>
      <c r="C134" t="inlineStr">
        <is>
          <t>TCS</t>
        </is>
      </c>
      <c r="D134" s="19" t="n">
        <v>9000</v>
      </c>
      <c r="E134" s="21" t="n">
        <v>3807.6738</v>
      </c>
      <c r="F134" s="20" t="n">
        <v>34269064.2</v>
      </c>
    </row>
    <row r="135">
      <c r="A135" s="22" t="n">
        <v>46289</v>
      </c>
      <c r="B135" t="inlineStr">
        <is>
          <t>ALPHA_EQ</t>
        </is>
      </c>
      <c r="C135" t="inlineStr">
        <is>
          <t>RELIANCE</t>
        </is>
      </c>
      <c r="D135" s="19" t="n">
        <v>14800</v>
      </c>
      <c r="E135" s="21" t="n">
        <v>1490.1692</v>
      </c>
      <c r="F135" s="20" t="n">
        <v>22054504.16</v>
      </c>
    </row>
    <row r="136">
      <c r="A136" s="22" t="n">
        <v>46289</v>
      </c>
      <c r="B136" t="inlineStr">
        <is>
          <t>ALPHA_EQ</t>
        </is>
      </c>
      <c r="C136" t="inlineStr">
        <is>
          <t>ITC</t>
        </is>
      </c>
      <c r="D136" s="19" t="n">
        <v>10200</v>
      </c>
      <c r="E136" s="21" t="n">
        <v>467.5602</v>
      </c>
      <c r="F136" s="20" t="n">
        <v>4769114.04</v>
      </c>
    </row>
    <row r="137">
      <c r="A137" s="22" t="n">
        <v>46290</v>
      </c>
      <c r="B137" t="inlineStr">
        <is>
          <t>ALPHA_EQ</t>
        </is>
      </c>
      <c r="C137" t="inlineStr">
        <is>
          <t>HDFCBANK</t>
        </is>
      </c>
      <c r="D137" s="19" t="n">
        <v>7700</v>
      </c>
      <c r="E137" s="21" t="n">
        <v>1691.9358</v>
      </c>
      <c r="F137" s="20" t="n">
        <v>13027905.66</v>
      </c>
    </row>
    <row r="138">
      <c r="A138" s="22" t="n">
        <v>46290</v>
      </c>
      <c r="B138" t="inlineStr">
        <is>
          <t>ALPHA_EQ</t>
        </is>
      </c>
      <c r="C138" t="inlineStr">
        <is>
          <t>ICICIBANK</t>
        </is>
      </c>
      <c r="D138" s="19" t="n">
        <v>15200</v>
      </c>
      <c r="E138" s="21" t="n">
        <v>1295.012</v>
      </c>
      <c r="F138" s="20" t="n">
        <v>19684182.4</v>
      </c>
    </row>
    <row r="139">
      <c r="A139" s="22" t="n">
        <v>46290</v>
      </c>
      <c r="B139" t="inlineStr">
        <is>
          <t>ALPHA_EQ</t>
        </is>
      </c>
      <c r="C139" t="inlineStr">
        <is>
          <t>INFY</t>
        </is>
      </c>
      <c r="D139" s="19" t="n">
        <v>4700</v>
      </c>
      <c r="E139" s="21" t="n">
        <v>1797.3254</v>
      </c>
      <c r="F139" s="20" t="n">
        <v>8447429.380000001</v>
      </c>
    </row>
    <row r="140">
      <c r="A140" s="22" t="n">
        <v>46290</v>
      </c>
      <c r="B140" t="inlineStr">
        <is>
          <t>ALPHA_EQ</t>
        </is>
      </c>
      <c r="C140" t="inlineStr">
        <is>
          <t>TCS</t>
        </is>
      </c>
      <c r="D140" s="19" t="n">
        <v>9000</v>
      </c>
      <c r="E140" s="21" t="n">
        <v>3803.7341</v>
      </c>
      <c r="F140" s="20" t="n">
        <v>34233606.9</v>
      </c>
    </row>
    <row r="141">
      <c r="A141" s="22" t="n">
        <v>46290</v>
      </c>
      <c r="B141" t="inlineStr">
        <is>
          <t>ALPHA_EQ</t>
        </is>
      </c>
      <c r="C141" t="inlineStr">
        <is>
          <t>RELIANCE</t>
        </is>
      </c>
      <c r="D141" s="19" t="n">
        <v>14800</v>
      </c>
      <c r="E141" s="21" t="n">
        <v>1500.7961</v>
      </c>
      <c r="F141" s="20" t="n">
        <v>22211782.28</v>
      </c>
    </row>
    <row r="142">
      <c r="A142" s="22" t="n">
        <v>46290</v>
      </c>
      <c r="B142" t="inlineStr">
        <is>
          <t>ALPHA_EQ</t>
        </is>
      </c>
      <c r="C142" t="inlineStr">
        <is>
          <t>ITC</t>
        </is>
      </c>
      <c r="D142" s="19" t="n">
        <v>7700</v>
      </c>
      <c r="E142" s="21" t="n">
        <v>463.6433</v>
      </c>
      <c r="F142" s="20" t="n">
        <v>3570053.41</v>
      </c>
    </row>
    <row r="143">
      <c r="A143" s="22" t="n">
        <v>46293</v>
      </c>
      <c r="B143" t="inlineStr">
        <is>
          <t>ALPHA_EQ</t>
        </is>
      </c>
      <c r="C143" t="inlineStr">
        <is>
          <t>HDFCBANK</t>
        </is>
      </c>
      <c r="D143" s="19" t="n">
        <v>7700</v>
      </c>
      <c r="E143" s="21" t="n">
        <v>1691.8581</v>
      </c>
      <c r="F143" s="20" t="n">
        <v>13027307.37</v>
      </c>
    </row>
    <row r="144">
      <c r="A144" s="22" t="n">
        <v>46293</v>
      </c>
      <c r="B144" t="inlineStr">
        <is>
          <t>ALPHA_EQ</t>
        </is>
      </c>
      <c r="C144" t="inlineStr">
        <is>
          <t>ICICIBANK</t>
        </is>
      </c>
      <c r="D144" s="19" t="n">
        <v>14800</v>
      </c>
      <c r="E144" s="21" t="n">
        <v>1285.7812</v>
      </c>
      <c r="F144" s="20" t="n">
        <v>19029561.76</v>
      </c>
    </row>
    <row r="145">
      <c r="A145" s="22" t="n">
        <v>46293</v>
      </c>
      <c r="B145" t="inlineStr">
        <is>
          <t>ALPHA_EQ</t>
        </is>
      </c>
      <c r="C145" t="inlineStr">
        <is>
          <t>INFY</t>
        </is>
      </c>
      <c r="D145" s="19" t="n">
        <v>4700</v>
      </c>
      <c r="E145" s="21" t="n">
        <v>1847.9043</v>
      </c>
      <c r="F145" s="20" t="n">
        <v>8685150.210000001</v>
      </c>
    </row>
    <row r="146">
      <c r="A146" s="22" t="n">
        <v>46293</v>
      </c>
      <c r="B146" t="inlineStr">
        <is>
          <t>ALPHA_EQ</t>
        </is>
      </c>
      <c r="C146" t="inlineStr">
        <is>
          <t>TCS</t>
        </is>
      </c>
      <c r="D146" s="19" t="n">
        <v>9000</v>
      </c>
      <c r="E146" s="21" t="n">
        <v>3707.2458</v>
      </c>
      <c r="F146" s="20" t="n">
        <v>33365212.2</v>
      </c>
    </row>
    <row r="147">
      <c r="A147" s="22" t="n">
        <v>46293</v>
      </c>
      <c r="B147" t="inlineStr">
        <is>
          <t>ALPHA_EQ</t>
        </is>
      </c>
      <c r="C147" t="inlineStr">
        <is>
          <t>RELIANCE</t>
        </is>
      </c>
      <c r="D147" s="19" t="n">
        <v>9800</v>
      </c>
      <c r="E147" s="21" t="n">
        <v>1521.1649</v>
      </c>
      <c r="F147" s="20" t="n">
        <v>14907416.02</v>
      </c>
    </row>
    <row r="148">
      <c r="A148" s="22" t="n">
        <v>46293</v>
      </c>
      <c r="B148" t="inlineStr">
        <is>
          <t>ALPHA_EQ</t>
        </is>
      </c>
      <c r="C148" t="inlineStr">
        <is>
          <t>ITC</t>
        </is>
      </c>
      <c r="D148" s="19" t="n">
        <v>7700</v>
      </c>
      <c r="E148" s="21" t="n">
        <v>469.6223</v>
      </c>
      <c r="F148" s="20" t="n">
        <v>3616091.71</v>
      </c>
    </row>
    <row r="149">
      <c r="A149" s="22" t="n">
        <v>46294</v>
      </c>
      <c r="B149" t="inlineStr">
        <is>
          <t>ALPHA_EQ</t>
        </is>
      </c>
      <c r="C149" t="inlineStr">
        <is>
          <t>HDFCBANK</t>
        </is>
      </c>
      <c r="D149" s="19" t="n">
        <v>700</v>
      </c>
      <c r="E149" s="21" t="n">
        <v>1698.5868</v>
      </c>
      <c r="F149" s="20" t="n">
        <v>1189010.76</v>
      </c>
    </row>
    <row r="150">
      <c r="A150" s="22" t="n">
        <v>46294</v>
      </c>
      <c r="B150" t="inlineStr">
        <is>
          <t>ALPHA_EQ</t>
        </is>
      </c>
      <c r="C150" t="inlineStr">
        <is>
          <t>ICICIBANK</t>
        </is>
      </c>
      <c r="D150" s="19" t="n">
        <v>14800</v>
      </c>
      <c r="E150" s="21" t="n">
        <v>1303.3775</v>
      </c>
      <c r="F150" s="20" t="n">
        <v>19289987</v>
      </c>
    </row>
    <row r="151">
      <c r="A151" s="22" t="n">
        <v>46294</v>
      </c>
      <c r="B151" t="inlineStr">
        <is>
          <t>ALPHA_EQ</t>
        </is>
      </c>
      <c r="C151" t="inlineStr">
        <is>
          <t>INFY</t>
        </is>
      </c>
      <c r="D151" s="19" t="n">
        <v>4700</v>
      </c>
      <c r="E151" s="21" t="n">
        <v>1855.5281</v>
      </c>
      <c r="F151" s="20" t="n">
        <v>8720982.07</v>
      </c>
    </row>
    <row r="152">
      <c r="A152" s="22" t="n">
        <v>46294</v>
      </c>
      <c r="B152" t="inlineStr">
        <is>
          <t>ALPHA_EQ</t>
        </is>
      </c>
      <c r="C152" t="inlineStr">
        <is>
          <t>TCS</t>
        </is>
      </c>
      <c r="D152" s="19" t="n">
        <v>9000</v>
      </c>
      <c r="E152" s="21" t="n">
        <v>3742.7283</v>
      </c>
      <c r="F152" s="20" t="n">
        <v>33684554.7</v>
      </c>
    </row>
    <row r="153">
      <c r="A153" s="22" t="n">
        <v>46294</v>
      </c>
      <c r="B153" t="inlineStr">
        <is>
          <t>ALPHA_EQ</t>
        </is>
      </c>
      <c r="C153" t="inlineStr">
        <is>
          <t>RELIANCE</t>
        </is>
      </c>
      <c r="D153" s="19" t="n">
        <v>9800</v>
      </c>
      <c r="E153" s="21" t="n">
        <v>1511.3343</v>
      </c>
      <c r="F153" s="20" t="n">
        <v>14811076.14</v>
      </c>
    </row>
    <row r="154">
      <c r="A154" s="22" t="n">
        <v>46294</v>
      </c>
      <c r="B154" t="inlineStr">
        <is>
          <t>ALPHA_EQ</t>
        </is>
      </c>
      <c r="C154" t="inlineStr">
        <is>
          <t>ITC</t>
        </is>
      </c>
      <c r="D154" s="19" t="n">
        <v>4700</v>
      </c>
      <c r="E154" s="21" t="n">
        <v>477.671</v>
      </c>
      <c r="F154" s="20" t="n">
        <v>2245053.7</v>
      </c>
    </row>
    <row r="155">
      <c r="A155" s="22" t="n">
        <v>46295</v>
      </c>
      <c r="B155" t="inlineStr">
        <is>
          <t>ALPHA_EQ</t>
        </is>
      </c>
      <c r="C155" t="inlineStr">
        <is>
          <t>HDFCBANK</t>
        </is>
      </c>
      <c r="D155" s="19" t="n">
        <v>700</v>
      </c>
      <c r="E155" s="21" t="n">
        <v>1713.889</v>
      </c>
      <c r="F155" s="20" t="n">
        <v>1199722.3</v>
      </c>
    </row>
    <row r="156">
      <c r="A156" s="22" t="n">
        <v>46295</v>
      </c>
      <c r="B156" t="inlineStr">
        <is>
          <t>ALPHA_EQ</t>
        </is>
      </c>
      <c r="C156" t="inlineStr">
        <is>
          <t>ICICIBANK</t>
        </is>
      </c>
      <c r="D156" s="19" t="n">
        <v>15600</v>
      </c>
      <c r="E156" s="21" t="n">
        <v>1302.1905</v>
      </c>
      <c r="F156" s="20" t="n">
        <v>20314171.8</v>
      </c>
    </row>
    <row r="157">
      <c r="A157" s="22" t="n">
        <v>46295</v>
      </c>
      <c r="B157" t="inlineStr">
        <is>
          <t>ALPHA_EQ</t>
        </is>
      </c>
      <c r="C157" t="inlineStr">
        <is>
          <t>INFY</t>
        </is>
      </c>
      <c r="D157" s="19" t="n">
        <v>4900</v>
      </c>
      <c r="E157" s="21" t="n">
        <v>1882.0503</v>
      </c>
      <c r="F157" s="20" t="n">
        <v>9222046.470000001</v>
      </c>
    </row>
    <row r="158">
      <c r="A158" s="22" t="n">
        <v>46295</v>
      </c>
      <c r="B158" t="inlineStr">
        <is>
          <t>ALPHA_EQ</t>
        </is>
      </c>
      <c r="C158" t="inlineStr">
        <is>
          <t>TCS</t>
        </is>
      </c>
      <c r="D158" s="19" t="n">
        <v>9000</v>
      </c>
      <c r="E158" s="21" t="n">
        <v>3840.5437</v>
      </c>
      <c r="F158" s="20" t="n">
        <v>34564893.3</v>
      </c>
    </row>
    <row r="159">
      <c r="A159" s="22" t="n">
        <v>46295</v>
      </c>
      <c r="B159" t="inlineStr">
        <is>
          <t>ALPHA_EQ</t>
        </is>
      </c>
      <c r="C159" t="inlineStr">
        <is>
          <t>RELIANCE</t>
        </is>
      </c>
      <c r="D159" s="19" t="n">
        <v>9100</v>
      </c>
      <c r="E159" s="21" t="n">
        <v>1507.117</v>
      </c>
      <c r="F159" s="20" t="n">
        <v>13714764.7</v>
      </c>
    </row>
    <row r="160">
      <c r="A160" s="22" t="n">
        <v>46295</v>
      </c>
      <c r="B160" t="inlineStr">
        <is>
          <t>ALPHA_EQ</t>
        </is>
      </c>
      <c r="C160" t="inlineStr">
        <is>
          <t>ITC</t>
        </is>
      </c>
      <c r="D160" s="19" t="n">
        <v>4700</v>
      </c>
      <c r="E160" s="21" t="n">
        <v>472.3631</v>
      </c>
      <c r="F160" s="20" t="n">
        <v>2220106.57</v>
      </c>
    </row>
    <row r="161">
      <c r="A161" s="22" t="n">
        <v>46296</v>
      </c>
      <c r="B161" t="inlineStr">
        <is>
          <t>ALPHA_EQ</t>
        </is>
      </c>
      <c r="C161" t="inlineStr">
        <is>
          <t>HDFCBANK</t>
        </is>
      </c>
      <c r="D161" s="19" t="n">
        <v>600</v>
      </c>
      <c r="E161" s="21" t="n">
        <v>1737.6463</v>
      </c>
      <c r="F161" s="20" t="n">
        <v>1042587.78</v>
      </c>
    </row>
    <row r="162">
      <c r="A162" s="22" t="n">
        <v>46296</v>
      </c>
      <c r="B162" t="inlineStr">
        <is>
          <t>ALPHA_EQ</t>
        </is>
      </c>
      <c r="C162" t="inlineStr">
        <is>
          <t>ICICIBANK</t>
        </is>
      </c>
      <c r="D162" s="19" t="n">
        <v>19600</v>
      </c>
      <c r="E162" s="21" t="n">
        <v>1324.4879</v>
      </c>
      <c r="F162" s="20" t="n">
        <v>25959962.84</v>
      </c>
    </row>
    <row r="163">
      <c r="A163" s="22" t="n">
        <v>46296</v>
      </c>
      <c r="B163" t="inlineStr">
        <is>
          <t>ALPHA_EQ</t>
        </is>
      </c>
      <c r="C163" t="inlineStr">
        <is>
          <t>INFY</t>
        </is>
      </c>
      <c r="D163" s="19" t="n">
        <v>5900</v>
      </c>
      <c r="E163" s="21" t="n">
        <v>1906.3929</v>
      </c>
      <c r="F163" s="20" t="n">
        <v>11247718.11</v>
      </c>
    </row>
    <row r="164">
      <c r="A164" s="22" t="n">
        <v>46296</v>
      </c>
      <c r="B164" t="inlineStr">
        <is>
          <t>ALPHA_EQ</t>
        </is>
      </c>
      <c r="C164" t="inlineStr">
        <is>
          <t>TCS</t>
        </is>
      </c>
      <c r="D164" s="19" t="n">
        <v>9000</v>
      </c>
      <c r="E164" s="21" t="n">
        <v>3885.6602</v>
      </c>
      <c r="F164" s="20" t="n">
        <v>34970941.8</v>
      </c>
    </row>
    <row r="165">
      <c r="A165" s="22" t="n">
        <v>46296</v>
      </c>
      <c r="B165" t="inlineStr">
        <is>
          <t>ALPHA_EQ</t>
        </is>
      </c>
      <c r="C165" t="inlineStr">
        <is>
          <t>RELIANCE</t>
        </is>
      </c>
      <c r="D165" s="19" t="n">
        <v>9100</v>
      </c>
      <c r="E165" s="21" t="n">
        <v>1477.3449</v>
      </c>
      <c r="F165" s="20" t="n">
        <v>13443838.59</v>
      </c>
    </row>
    <row r="166">
      <c r="A166" s="22" t="n">
        <v>46296</v>
      </c>
      <c r="B166" t="inlineStr">
        <is>
          <t>ALPHA_EQ</t>
        </is>
      </c>
      <c r="C166" t="inlineStr">
        <is>
          <t>ITC</t>
        </is>
      </c>
      <c r="D166" s="19" t="n">
        <v>4700</v>
      </c>
      <c r="E166" s="21" t="n">
        <v>465.4479</v>
      </c>
      <c r="F166" s="20" t="n">
        <v>2187605.13</v>
      </c>
    </row>
    <row r="167">
      <c r="A167" s="22" t="n">
        <v>46297</v>
      </c>
      <c r="B167" t="inlineStr">
        <is>
          <t>ALPHA_EQ</t>
        </is>
      </c>
      <c r="C167" t="inlineStr">
        <is>
          <t>HDFCBANK</t>
        </is>
      </c>
      <c r="D167" s="19" t="n">
        <v>600</v>
      </c>
      <c r="E167" s="21" t="n">
        <v>1743.2376</v>
      </c>
      <c r="F167" s="20" t="n">
        <v>1045942.56</v>
      </c>
    </row>
    <row r="168">
      <c r="A168" s="22" t="n">
        <v>46297</v>
      </c>
      <c r="B168" t="inlineStr">
        <is>
          <t>ALPHA_EQ</t>
        </is>
      </c>
      <c r="C168" t="inlineStr">
        <is>
          <t>ICICIBANK</t>
        </is>
      </c>
      <c r="D168" s="19" t="n">
        <v>19600</v>
      </c>
      <c r="E168" s="21" t="n">
        <v>1336.1626</v>
      </c>
      <c r="F168" s="20" t="n">
        <v>26188786.96</v>
      </c>
    </row>
    <row r="169">
      <c r="A169" s="22" t="n">
        <v>46297</v>
      </c>
      <c r="B169" t="inlineStr">
        <is>
          <t>ALPHA_EQ</t>
        </is>
      </c>
      <c r="C169" t="inlineStr">
        <is>
          <t>INFY</t>
        </is>
      </c>
      <c r="D169" s="19" t="n">
        <v>13900</v>
      </c>
      <c r="E169" s="21" t="n">
        <v>1877.4153</v>
      </c>
      <c r="F169" s="20" t="n">
        <v>26096072.67</v>
      </c>
    </row>
    <row r="170">
      <c r="A170" s="22" t="n">
        <v>46297</v>
      </c>
      <c r="B170" t="inlineStr">
        <is>
          <t>ALPHA_EQ</t>
        </is>
      </c>
      <c r="C170" t="inlineStr">
        <is>
          <t>TCS</t>
        </is>
      </c>
      <c r="D170" s="19" t="n">
        <v>9000</v>
      </c>
      <c r="E170" s="21" t="n">
        <v>3849.1668</v>
      </c>
      <c r="F170" s="20" t="n">
        <v>34642501.2</v>
      </c>
    </row>
    <row r="171">
      <c r="A171" s="22" t="n">
        <v>46297</v>
      </c>
      <c r="B171" t="inlineStr">
        <is>
          <t>ALPHA_EQ</t>
        </is>
      </c>
      <c r="C171" t="inlineStr">
        <is>
          <t>RELIANCE</t>
        </is>
      </c>
      <c r="D171" s="19" t="n">
        <v>2100</v>
      </c>
      <c r="E171" s="21" t="n">
        <v>1513.92</v>
      </c>
      <c r="F171" s="20" t="n">
        <v>3179232</v>
      </c>
    </row>
    <row r="172">
      <c r="A172" s="22" t="n">
        <v>46297</v>
      </c>
      <c r="B172" t="inlineStr">
        <is>
          <t>ALPHA_EQ</t>
        </is>
      </c>
      <c r="C172" t="inlineStr">
        <is>
          <t>ITC</t>
        </is>
      </c>
      <c r="D172" s="19" t="n">
        <v>4700</v>
      </c>
      <c r="E172" s="21" t="n">
        <v>469.8669</v>
      </c>
      <c r="F172" s="20" t="n">
        <v>2208374.43</v>
      </c>
    </row>
    <row r="173">
      <c r="A173" s="22" t="n">
        <v>46300</v>
      </c>
      <c r="B173" t="inlineStr">
        <is>
          <t>ALPHA_EQ</t>
        </is>
      </c>
      <c r="C173" t="inlineStr">
        <is>
          <t>HDFCBANK</t>
        </is>
      </c>
      <c r="D173" s="19" t="n">
        <v>600</v>
      </c>
      <c r="E173" s="21" t="n">
        <v>1707.0177</v>
      </c>
      <c r="F173" s="20" t="n">
        <v>1024210.62</v>
      </c>
    </row>
    <row r="174">
      <c r="A174" s="22" t="n">
        <v>46300</v>
      </c>
      <c r="B174" t="inlineStr">
        <is>
          <t>ALPHA_EQ</t>
        </is>
      </c>
      <c r="C174" t="inlineStr">
        <is>
          <t>ICICIBANK</t>
        </is>
      </c>
      <c r="D174" s="19" t="n">
        <v>19600</v>
      </c>
      <c r="E174" s="21" t="n">
        <v>1339.5522</v>
      </c>
      <c r="F174" s="20" t="n">
        <v>26255223.12</v>
      </c>
    </row>
    <row r="175">
      <c r="A175" s="22" t="n">
        <v>46300</v>
      </c>
      <c r="B175" t="inlineStr">
        <is>
          <t>ALPHA_EQ</t>
        </is>
      </c>
      <c r="C175" t="inlineStr">
        <is>
          <t>INFY</t>
        </is>
      </c>
      <c r="D175" s="19" t="n">
        <v>13900</v>
      </c>
      <c r="E175" s="21" t="n">
        <v>1942.6906</v>
      </c>
      <c r="F175" s="20" t="n">
        <v>27003399.34</v>
      </c>
    </row>
    <row r="176">
      <c r="A176" s="22" t="n">
        <v>46300</v>
      </c>
      <c r="B176" t="inlineStr">
        <is>
          <t>ALPHA_EQ</t>
        </is>
      </c>
      <c r="C176" t="inlineStr">
        <is>
          <t>TCS</t>
        </is>
      </c>
      <c r="D176" s="19" t="n">
        <v>9000</v>
      </c>
      <c r="E176" s="21" t="n">
        <v>3834.4002</v>
      </c>
      <c r="F176" s="20" t="n">
        <v>34509601.8</v>
      </c>
    </row>
    <row r="177">
      <c r="A177" s="22" t="n">
        <v>46300</v>
      </c>
      <c r="B177" t="inlineStr">
        <is>
          <t>ALPHA_EQ</t>
        </is>
      </c>
      <c r="C177" t="inlineStr">
        <is>
          <t>RELIANCE</t>
        </is>
      </c>
      <c r="D177" s="19" t="n">
        <v>2100</v>
      </c>
      <c r="E177" s="21" t="n">
        <v>1547.948</v>
      </c>
      <c r="F177" s="20" t="n">
        <v>3250690.8</v>
      </c>
    </row>
    <row r="178">
      <c r="A178" s="22" t="n">
        <v>46300</v>
      </c>
      <c r="B178" t="inlineStr">
        <is>
          <t>ALPHA_EQ</t>
        </is>
      </c>
      <c r="C178" t="inlineStr">
        <is>
          <t>ITC</t>
        </is>
      </c>
      <c r="D178" s="19" t="n">
        <v>10700</v>
      </c>
      <c r="E178" s="21" t="n">
        <v>474.2041</v>
      </c>
      <c r="F178" s="20" t="n">
        <v>5073983.87</v>
      </c>
    </row>
    <row r="179">
      <c r="A179" s="22" t="n">
        <v>46301</v>
      </c>
      <c r="B179" t="inlineStr">
        <is>
          <t>ALPHA_EQ</t>
        </is>
      </c>
      <c r="C179" t="inlineStr">
        <is>
          <t>HDFCBANK</t>
        </is>
      </c>
      <c r="D179" s="19" t="n">
        <v>3000</v>
      </c>
      <c r="E179" s="21" t="n">
        <v>1722.5869</v>
      </c>
      <c r="F179" s="20" t="n">
        <v>5167760.7</v>
      </c>
    </row>
    <row r="180">
      <c r="A180" s="22" t="n">
        <v>46301</v>
      </c>
      <c r="B180" t="inlineStr">
        <is>
          <t>ALPHA_EQ</t>
        </is>
      </c>
      <c r="C180" t="inlineStr">
        <is>
          <t>ICICIBANK</t>
        </is>
      </c>
      <c r="D180" s="19" t="n">
        <v>19600</v>
      </c>
      <c r="E180" s="21" t="n">
        <v>1326.9019</v>
      </c>
      <c r="F180" s="20" t="n">
        <v>26007277.24</v>
      </c>
    </row>
    <row r="181">
      <c r="A181" s="22" t="n">
        <v>46301</v>
      </c>
      <c r="B181" t="inlineStr">
        <is>
          <t>ALPHA_EQ</t>
        </is>
      </c>
      <c r="C181" t="inlineStr">
        <is>
          <t>INFY</t>
        </is>
      </c>
      <c r="D181" s="19" t="n">
        <v>13900</v>
      </c>
      <c r="E181" s="21" t="n">
        <v>1992.3485</v>
      </c>
      <c r="F181" s="20" t="n">
        <v>27693644.15</v>
      </c>
    </row>
    <row r="182">
      <c r="A182" s="22" t="n">
        <v>46301</v>
      </c>
      <c r="B182" t="inlineStr">
        <is>
          <t>ALPHA_EQ</t>
        </is>
      </c>
      <c r="C182" t="inlineStr">
        <is>
          <t>TCS</t>
        </is>
      </c>
      <c r="D182" s="19" t="n">
        <v>9000</v>
      </c>
      <c r="E182" s="21" t="n">
        <v>3846.4404</v>
      </c>
      <c r="F182" s="20" t="n">
        <v>34617963.6</v>
      </c>
    </row>
    <row r="183">
      <c r="A183" s="22" t="n">
        <v>46301</v>
      </c>
      <c r="B183" t="inlineStr">
        <is>
          <t>ALPHA_EQ</t>
        </is>
      </c>
      <c r="C183" t="inlineStr">
        <is>
          <t>RELIANCE</t>
        </is>
      </c>
      <c r="D183" s="19" t="n">
        <v>2100</v>
      </c>
      <c r="E183" s="21" t="n">
        <v>1544.8792</v>
      </c>
      <c r="F183" s="20" t="n">
        <v>3244246.32</v>
      </c>
    </row>
    <row r="184">
      <c r="A184" s="22" t="n">
        <v>46301</v>
      </c>
      <c r="B184" t="inlineStr">
        <is>
          <t>ALPHA_EQ</t>
        </is>
      </c>
      <c r="C184" t="inlineStr">
        <is>
          <t>ITC</t>
        </is>
      </c>
      <c r="D184" s="19" t="n">
        <v>10700</v>
      </c>
      <c r="E184" s="21" t="n">
        <v>469.8578</v>
      </c>
      <c r="F184" s="20" t="n">
        <v>5027478.46</v>
      </c>
    </row>
    <row r="185">
      <c r="A185" s="22" t="n">
        <v>46260</v>
      </c>
      <c r="B185" t="inlineStr">
        <is>
          <t>BETA_DEBT</t>
        </is>
      </c>
      <c r="C185" t="inlineStr">
        <is>
          <t>GOI7.26-36</t>
        </is>
      </c>
      <c r="D185" s="19" t="n">
        <v>588200</v>
      </c>
      <c r="E185" s="21" t="n">
        <v>102.1623</v>
      </c>
      <c r="F185" s="20" t="n">
        <v>60091864.86</v>
      </c>
    </row>
    <row r="186">
      <c r="A186" s="22" t="n">
        <v>46260</v>
      </c>
      <c r="B186" t="inlineStr">
        <is>
          <t>BETA_DEBT</t>
        </is>
      </c>
      <c r="C186" t="inlineStr">
        <is>
          <t>GOI8.2-33</t>
        </is>
      </c>
      <c r="D186" s="19" t="n">
        <v>460800</v>
      </c>
      <c r="E186" s="21" t="n">
        <v>108.6441</v>
      </c>
      <c r="F186" s="20" t="n">
        <v>50063201.28</v>
      </c>
    </row>
    <row r="187">
      <c r="A187" s="22" t="n">
        <v>46260</v>
      </c>
      <c r="B187" t="inlineStr">
        <is>
          <t>BETA_DEBT</t>
        </is>
      </c>
      <c r="C187" t="inlineStr">
        <is>
          <t>SDL-MH-32</t>
        </is>
      </c>
      <c r="D187" s="19" t="n">
        <v>295600</v>
      </c>
      <c r="E187" s="21" t="n">
        <v>101.4579</v>
      </c>
      <c r="F187" s="20" t="n">
        <v>29990955.24</v>
      </c>
    </row>
    <row r="188">
      <c r="A188" s="22" t="n">
        <v>46260</v>
      </c>
      <c r="B188" t="inlineStr">
        <is>
          <t>BETA_DEBT</t>
        </is>
      </c>
      <c r="C188" t="inlineStr">
        <is>
          <t>CP-TATA</t>
        </is>
      </c>
      <c r="D188" s="19" t="n">
        <v>202400</v>
      </c>
      <c r="E188" s="21" t="n">
        <v>99.8117</v>
      </c>
      <c r="F188" s="20" t="n">
        <v>20201888.08</v>
      </c>
    </row>
    <row r="189">
      <c r="A189" s="22" t="n">
        <v>46260</v>
      </c>
      <c r="B189" t="inlineStr">
        <is>
          <t>BETA_DEBT</t>
        </is>
      </c>
      <c r="C189" t="inlineStr">
        <is>
          <t>NCD-REL</t>
        </is>
      </c>
      <c r="D189" s="19" t="n">
        <v>29900</v>
      </c>
      <c r="E189" s="21" t="n">
        <v>1007.1973</v>
      </c>
      <c r="F189" s="20" t="n">
        <v>30115199.27</v>
      </c>
    </row>
    <row r="190">
      <c r="A190" s="22" t="n">
        <v>46261</v>
      </c>
      <c r="B190" t="inlineStr">
        <is>
          <t>BETA_DEBT</t>
        </is>
      </c>
      <c r="C190" t="inlineStr">
        <is>
          <t>GOI7.26-36</t>
        </is>
      </c>
      <c r="D190" s="19" t="n">
        <v>587600</v>
      </c>
      <c r="E190" s="21" t="n">
        <v>102.8149</v>
      </c>
      <c r="F190" s="20" t="n">
        <v>60414035.24</v>
      </c>
    </row>
    <row r="191">
      <c r="A191" s="22" t="n">
        <v>46261</v>
      </c>
      <c r="B191" t="inlineStr">
        <is>
          <t>BETA_DEBT</t>
        </is>
      </c>
      <c r="C191" t="inlineStr">
        <is>
          <t>GOI8.2-33</t>
        </is>
      </c>
      <c r="D191" s="19" t="n">
        <v>460800</v>
      </c>
      <c r="E191" s="21" t="n">
        <v>108.6137</v>
      </c>
      <c r="F191" s="20" t="n">
        <v>50049192.96</v>
      </c>
    </row>
    <row r="192">
      <c r="A192" s="22" t="n">
        <v>46261</v>
      </c>
      <c r="B192" t="inlineStr">
        <is>
          <t>BETA_DEBT</t>
        </is>
      </c>
      <c r="C192" t="inlineStr">
        <is>
          <t>SDL-MH-32</t>
        </is>
      </c>
      <c r="D192" s="19" t="n">
        <v>294800</v>
      </c>
      <c r="E192" s="21" t="n">
        <v>101.3304</v>
      </c>
      <c r="F192" s="20" t="n">
        <v>29872201.92</v>
      </c>
    </row>
    <row r="193">
      <c r="A193" s="22" t="n">
        <v>46261</v>
      </c>
      <c r="B193" t="inlineStr">
        <is>
          <t>BETA_DEBT</t>
        </is>
      </c>
      <c r="C193" t="inlineStr">
        <is>
          <t>CP-TATA</t>
        </is>
      </c>
      <c r="D193" s="19" t="n">
        <v>203400</v>
      </c>
      <c r="E193" s="21" t="n">
        <v>99.89</v>
      </c>
      <c r="F193" s="20" t="n">
        <v>20317626</v>
      </c>
    </row>
    <row r="194">
      <c r="A194" s="22" t="n">
        <v>46261</v>
      </c>
      <c r="B194" t="inlineStr">
        <is>
          <t>BETA_DEBT</t>
        </is>
      </c>
      <c r="C194" t="inlineStr">
        <is>
          <t>NCD-REL</t>
        </is>
      </c>
      <c r="D194" s="19" t="n">
        <v>29900</v>
      </c>
      <c r="E194" s="21" t="n">
        <v>1003.6517</v>
      </c>
      <c r="F194" s="20" t="n">
        <v>30009185.83</v>
      </c>
    </row>
    <row r="195">
      <c r="A195" s="22" t="n">
        <v>46262</v>
      </c>
      <c r="B195" t="inlineStr">
        <is>
          <t>BETA_DEBT</t>
        </is>
      </c>
      <c r="C195" t="inlineStr">
        <is>
          <t>GOI7.26-36</t>
        </is>
      </c>
      <c r="D195" s="19" t="n">
        <v>587600</v>
      </c>
      <c r="E195" s="21" t="n">
        <v>103.6698</v>
      </c>
      <c r="F195" s="20" t="n">
        <v>60916374.48</v>
      </c>
    </row>
    <row r="196">
      <c r="A196" s="22" t="n">
        <v>46262</v>
      </c>
      <c r="B196" t="inlineStr">
        <is>
          <t>BETA_DEBT</t>
        </is>
      </c>
      <c r="C196" t="inlineStr">
        <is>
          <t>GOI8.2-33</t>
        </is>
      </c>
      <c r="D196" s="19" t="n">
        <v>460000</v>
      </c>
      <c r="E196" s="21" t="n">
        <v>108.6979</v>
      </c>
      <c r="F196" s="20" t="n">
        <v>50001034</v>
      </c>
    </row>
    <row r="197">
      <c r="A197" s="22" t="n">
        <v>46262</v>
      </c>
      <c r="B197" t="inlineStr">
        <is>
          <t>BETA_DEBT</t>
        </is>
      </c>
      <c r="C197" t="inlineStr">
        <is>
          <t>SDL-MH-32</t>
        </is>
      </c>
      <c r="D197" s="19" t="n">
        <v>294800</v>
      </c>
      <c r="E197" s="21" t="n">
        <v>100.936</v>
      </c>
      <c r="F197" s="20" t="n">
        <v>29755932.8</v>
      </c>
    </row>
    <row r="198">
      <c r="A198" s="22" t="n">
        <v>46262</v>
      </c>
      <c r="B198" t="inlineStr">
        <is>
          <t>BETA_DEBT</t>
        </is>
      </c>
      <c r="C198" t="inlineStr">
        <is>
          <t>CP-TATA</t>
        </is>
      </c>
      <c r="D198" s="19" t="n">
        <v>203400</v>
      </c>
      <c r="E198" s="21" t="n">
        <v>99.79689999999999</v>
      </c>
      <c r="F198" s="20" t="n">
        <v>20298689.46</v>
      </c>
    </row>
    <row r="199">
      <c r="A199" s="22" t="n">
        <v>46262</v>
      </c>
      <c r="B199" t="inlineStr">
        <is>
          <t>BETA_DEBT</t>
        </is>
      </c>
      <c r="C199" t="inlineStr">
        <is>
          <t>NCD-REL</t>
        </is>
      </c>
      <c r="D199" s="19" t="n">
        <v>29900</v>
      </c>
      <c r="E199" s="21" t="n">
        <v>1004.2894</v>
      </c>
      <c r="F199" s="20" t="n">
        <v>30028253.06</v>
      </c>
    </row>
    <row r="200">
      <c r="A200" s="22" t="n">
        <v>46265</v>
      </c>
      <c r="B200" t="inlineStr">
        <is>
          <t>BETA_DEBT</t>
        </is>
      </c>
      <c r="C200" t="inlineStr">
        <is>
          <t>GOI7.26-36</t>
        </is>
      </c>
      <c r="D200" s="19" t="n">
        <v>587600</v>
      </c>
      <c r="E200" s="21" t="n">
        <v>103.5776</v>
      </c>
      <c r="F200" s="20" t="n">
        <v>60862197.76</v>
      </c>
    </row>
    <row r="201">
      <c r="A201" s="22" t="n">
        <v>46265</v>
      </c>
      <c r="B201" t="inlineStr">
        <is>
          <t>BETA_DEBT</t>
        </is>
      </c>
      <c r="C201" t="inlineStr">
        <is>
          <t>GOI8.2-33</t>
        </is>
      </c>
      <c r="D201" s="19" t="n">
        <v>460000</v>
      </c>
      <c r="E201" s="21" t="n">
        <v>109.1034</v>
      </c>
      <c r="F201" s="20" t="n">
        <v>50187564</v>
      </c>
    </row>
    <row r="202">
      <c r="A202" s="22" t="n">
        <v>46265</v>
      </c>
      <c r="B202" t="inlineStr">
        <is>
          <t>BETA_DEBT</t>
        </is>
      </c>
      <c r="C202" t="inlineStr">
        <is>
          <t>SDL-MH-32</t>
        </is>
      </c>
      <c r="D202" s="19" t="n">
        <v>294800</v>
      </c>
      <c r="E202" s="21" t="n">
        <v>100.8476</v>
      </c>
      <c r="F202" s="20" t="n">
        <v>29729872.48</v>
      </c>
    </row>
    <row r="203">
      <c r="A203" s="22" t="n">
        <v>46265</v>
      </c>
      <c r="B203" t="inlineStr">
        <is>
          <t>BETA_DEBT</t>
        </is>
      </c>
      <c r="C203" t="inlineStr">
        <is>
          <t>CP-TATA</t>
        </is>
      </c>
      <c r="D203" s="19" t="n">
        <v>207400</v>
      </c>
      <c r="E203" s="21" t="n">
        <v>99.7886</v>
      </c>
      <c r="F203" s="20" t="n">
        <v>20696155.64</v>
      </c>
    </row>
    <row r="204">
      <c r="A204" s="22" t="n">
        <v>46265</v>
      </c>
      <c r="B204" t="inlineStr">
        <is>
          <t>BETA_DEBT</t>
        </is>
      </c>
      <c r="C204" t="inlineStr">
        <is>
          <t>NCD-REL</t>
        </is>
      </c>
      <c r="D204" s="19" t="n">
        <v>32900</v>
      </c>
      <c r="E204" s="21" t="n">
        <v>1002.3904</v>
      </c>
      <c r="F204" s="20" t="n">
        <v>32978644.16</v>
      </c>
    </row>
    <row r="205">
      <c r="A205" s="22" t="n">
        <v>46266</v>
      </c>
      <c r="B205" t="inlineStr">
        <is>
          <t>BETA_DEBT</t>
        </is>
      </c>
      <c r="C205" t="inlineStr">
        <is>
          <t>GOI7.26-36</t>
        </is>
      </c>
      <c r="D205" s="19" t="n">
        <v>587600</v>
      </c>
      <c r="E205" s="21" t="n">
        <v>103.0551</v>
      </c>
      <c r="F205" s="20" t="n">
        <v>60555176.76</v>
      </c>
    </row>
    <row r="206">
      <c r="A206" s="22" t="n">
        <v>46266</v>
      </c>
      <c r="B206" t="inlineStr">
        <is>
          <t>BETA_DEBT</t>
        </is>
      </c>
      <c r="C206" t="inlineStr">
        <is>
          <t>GOI8.2-33</t>
        </is>
      </c>
      <c r="D206" s="19" t="n">
        <v>460000</v>
      </c>
      <c r="E206" s="21" t="n">
        <v>108.9844</v>
      </c>
      <c r="F206" s="20" t="n">
        <v>50132824</v>
      </c>
    </row>
    <row r="207">
      <c r="A207" s="22" t="n">
        <v>46266</v>
      </c>
      <c r="B207" t="inlineStr">
        <is>
          <t>BETA_DEBT</t>
        </is>
      </c>
      <c r="C207" t="inlineStr">
        <is>
          <t>SDL-MH-32</t>
        </is>
      </c>
      <c r="D207" s="19" t="n">
        <v>294800</v>
      </c>
      <c r="E207" s="21" t="n">
        <v>101.7407</v>
      </c>
      <c r="F207" s="20" t="n">
        <v>29993158.36</v>
      </c>
    </row>
    <row r="208">
      <c r="A208" s="22" t="n">
        <v>46266</v>
      </c>
      <c r="B208" t="inlineStr">
        <is>
          <t>BETA_DEBT</t>
        </is>
      </c>
      <c r="C208" t="inlineStr">
        <is>
          <t>CP-TATA</t>
        </is>
      </c>
      <c r="D208" s="19" t="n">
        <v>207200</v>
      </c>
      <c r="E208" s="21" t="n">
        <v>99.7273</v>
      </c>
      <c r="F208" s="20" t="n">
        <v>20663496.56</v>
      </c>
    </row>
    <row r="209">
      <c r="A209" s="22" t="n">
        <v>46266</v>
      </c>
      <c r="B209" t="inlineStr">
        <is>
          <t>BETA_DEBT</t>
        </is>
      </c>
      <c r="C209" t="inlineStr">
        <is>
          <t>NCD-REL</t>
        </is>
      </c>
      <c r="D209" s="19" t="n">
        <v>32900</v>
      </c>
      <c r="E209" s="21" t="n">
        <v>997.5168</v>
      </c>
      <c r="F209" s="20" t="n">
        <v>32818302.72</v>
      </c>
    </row>
    <row r="210">
      <c r="A210" s="22" t="n">
        <v>46267</v>
      </c>
      <c r="B210" t="inlineStr">
        <is>
          <t>BETA_DEBT</t>
        </is>
      </c>
      <c r="C210" t="inlineStr">
        <is>
          <t>GOI7.26-36</t>
        </is>
      </c>
      <c r="D210" s="19" t="n">
        <v>587600</v>
      </c>
      <c r="E210" s="21" t="n">
        <v>102.9417</v>
      </c>
      <c r="F210" s="20" t="n">
        <v>60488542.92</v>
      </c>
    </row>
    <row r="211">
      <c r="A211" s="22" t="n">
        <v>46267</v>
      </c>
      <c r="B211" t="inlineStr">
        <is>
          <t>BETA_DEBT</t>
        </is>
      </c>
      <c r="C211" t="inlineStr">
        <is>
          <t>GOI8.2-33</t>
        </is>
      </c>
      <c r="D211" s="19" t="n">
        <v>460000</v>
      </c>
      <c r="E211" s="21" t="n">
        <v>109.509</v>
      </c>
      <c r="F211" s="20" t="n">
        <v>50374140</v>
      </c>
    </row>
    <row r="212">
      <c r="A212" s="22" t="n">
        <v>46267</v>
      </c>
      <c r="B212" t="inlineStr">
        <is>
          <t>BETA_DEBT</t>
        </is>
      </c>
      <c r="C212" t="inlineStr">
        <is>
          <t>SDL-MH-32</t>
        </is>
      </c>
      <c r="D212" s="19" t="n">
        <v>294800</v>
      </c>
      <c r="E212" s="21" t="n">
        <v>101.506</v>
      </c>
      <c r="F212" s="20" t="n">
        <v>29923968.8</v>
      </c>
    </row>
    <row r="213">
      <c r="A213" s="22" t="n">
        <v>46267</v>
      </c>
      <c r="B213" t="inlineStr">
        <is>
          <t>BETA_DEBT</t>
        </is>
      </c>
      <c r="C213" t="inlineStr">
        <is>
          <t>CP-TATA</t>
        </is>
      </c>
      <c r="D213" s="19" t="n">
        <v>203200</v>
      </c>
      <c r="E213" s="21" t="n">
        <v>99.81180000000001</v>
      </c>
      <c r="F213" s="20" t="n">
        <v>20281757.76</v>
      </c>
    </row>
    <row r="214">
      <c r="A214" s="22" t="n">
        <v>46267</v>
      </c>
      <c r="B214" t="inlineStr">
        <is>
          <t>BETA_DEBT</t>
        </is>
      </c>
      <c r="C214" t="inlineStr">
        <is>
          <t>NCD-REL</t>
        </is>
      </c>
      <c r="D214" s="19" t="n">
        <v>32500</v>
      </c>
      <c r="E214" s="21" t="n">
        <v>1001.1162</v>
      </c>
      <c r="F214" s="20" t="n">
        <v>32536276.5</v>
      </c>
    </row>
    <row r="215">
      <c r="A215" s="22" t="n">
        <v>46268</v>
      </c>
      <c r="B215" t="inlineStr">
        <is>
          <t>BETA_DEBT</t>
        </is>
      </c>
      <c r="C215" t="inlineStr">
        <is>
          <t>GOI7.26-36</t>
        </is>
      </c>
      <c r="D215" s="19" t="n">
        <v>587600</v>
      </c>
      <c r="E215" s="21" t="n">
        <v>102.6639</v>
      </c>
      <c r="F215" s="20" t="n">
        <v>60325307.64</v>
      </c>
    </row>
    <row r="216">
      <c r="A216" s="22" t="n">
        <v>46268</v>
      </c>
      <c r="B216" t="inlineStr">
        <is>
          <t>BETA_DEBT</t>
        </is>
      </c>
      <c r="C216" t="inlineStr">
        <is>
          <t>GOI8.2-33</t>
        </is>
      </c>
      <c r="D216" s="19" t="n">
        <v>459400</v>
      </c>
      <c r="E216" s="21" t="n">
        <v>109.2653</v>
      </c>
      <c r="F216" s="20" t="n">
        <v>50196478.82</v>
      </c>
    </row>
    <row r="217">
      <c r="A217" s="22" t="n">
        <v>46268</v>
      </c>
      <c r="B217" t="inlineStr">
        <is>
          <t>BETA_DEBT</t>
        </is>
      </c>
      <c r="C217" t="inlineStr">
        <is>
          <t>SDL-MH-32</t>
        </is>
      </c>
      <c r="D217" s="19" t="n">
        <v>294800</v>
      </c>
      <c r="E217" s="21" t="n">
        <v>101.4628</v>
      </c>
      <c r="F217" s="20" t="n">
        <v>29911233.44</v>
      </c>
    </row>
    <row r="218">
      <c r="A218" s="22" t="n">
        <v>46268</v>
      </c>
      <c r="B218" t="inlineStr">
        <is>
          <t>BETA_DEBT</t>
        </is>
      </c>
      <c r="C218" t="inlineStr">
        <is>
          <t>CP-TATA</t>
        </is>
      </c>
      <c r="D218" s="19" t="n">
        <v>203200</v>
      </c>
      <c r="E218" s="21" t="n">
        <v>99.7659</v>
      </c>
      <c r="F218" s="20" t="n">
        <v>20272430.88</v>
      </c>
    </row>
    <row r="219">
      <c r="A219" s="22" t="n">
        <v>46268</v>
      </c>
      <c r="B219" t="inlineStr">
        <is>
          <t>BETA_DEBT</t>
        </is>
      </c>
      <c r="C219" t="inlineStr">
        <is>
          <t>NCD-REL</t>
        </is>
      </c>
      <c r="D219" s="19" t="n">
        <v>33000</v>
      </c>
      <c r="E219" s="21" t="n">
        <v>1003.9018</v>
      </c>
      <c r="F219" s="20" t="n">
        <v>33128759.4</v>
      </c>
    </row>
    <row r="220">
      <c r="A220" s="22" t="n">
        <v>46269</v>
      </c>
      <c r="B220" t="inlineStr">
        <is>
          <t>BETA_DEBT</t>
        </is>
      </c>
      <c r="C220" t="inlineStr">
        <is>
          <t>GOI7.26-36</t>
        </is>
      </c>
      <c r="D220" s="19" t="n">
        <v>587600</v>
      </c>
      <c r="E220" s="21" t="n">
        <v>103.2871</v>
      </c>
      <c r="F220" s="20" t="n">
        <v>60691499.96</v>
      </c>
    </row>
    <row r="221">
      <c r="A221" s="22" t="n">
        <v>46269</v>
      </c>
      <c r="B221" t="inlineStr">
        <is>
          <t>BETA_DEBT</t>
        </is>
      </c>
      <c r="C221" t="inlineStr">
        <is>
          <t>GOI8.2-33</t>
        </is>
      </c>
      <c r="D221" s="19" t="n">
        <v>459400</v>
      </c>
      <c r="E221" s="21" t="n">
        <v>108.973</v>
      </c>
      <c r="F221" s="20" t="n">
        <v>50062196.2</v>
      </c>
    </row>
    <row r="222">
      <c r="A222" s="22" t="n">
        <v>46269</v>
      </c>
      <c r="B222" t="inlineStr">
        <is>
          <t>BETA_DEBT</t>
        </is>
      </c>
      <c r="C222" t="inlineStr">
        <is>
          <t>SDL-MH-32</t>
        </is>
      </c>
      <c r="D222" s="19" t="n">
        <v>294000</v>
      </c>
      <c r="E222" s="21" t="n">
        <v>101.9311</v>
      </c>
      <c r="F222" s="20" t="n">
        <v>29967743.4</v>
      </c>
    </row>
    <row r="223">
      <c r="A223" s="22" t="n">
        <v>46269</v>
      </c>
      <c r="B223" t="inlineStr">
        <is>
          <t>BETA_DEBT</t>
        </is>
      </c>
      <c r="C223" t="inlineStr">
        <is>
          <t>CP-TATA</t>
        </is>
      </c>
      <c r="D223" s="19" t="n">
        <v>203200</v>
      </c>
      <c r="E223" s="21" t="n">
        <v>99.7671</v>
      </c>
      <c r="F223" s="20" t="n">
        <v>20272674.72</v>
      </c>
    </row>
    <row r="224">
      <c r="A224" s="22" t="n">
        <v>46269</v>
      </c>
      <c r="B224" t="inlineStr">
        <is>
          <t>BETA_DEBT</t>
        </is>
      </c>
      <c r="C224" t="inlineStr">
        <is>
          <t>NCD-REL</t>
        </is>
      </c>
      <c r="D224" s="19" t="n">
        <v>33000</v>
      </c>
      <c r="E224" s="21" t="n">
        <v>1004.3218</v>
      </c>
      <c r="F224" s="20" t="n">
        <v>33142619.4</v>
      </c>
    </row>
    <row r="225">
      <c r="A225" s="22" t="n">
        <v>46272</v>
      </c>
      <c r="B225" t="inlineStr">
        <is>
          <t>BETA_DEBT</t>
        </is>
      </c>
      <c r="C225" t="inlineStr">
        <is>
          <t>GOI7.26-36</t>
        </is>
      </c>
      <c r="D225" s="19" t="n">
        <v>587600</v>
      </c>
      <c r="E225" s="21" t="n">
        <v>103.4764</v>
      </c>
      <c r="F225" s="20" t="n">
        <v>60802732.64</v>
      </c>
    </row>
    <row r="226">
      <c r="A226" s="22" t="n">
        <v>46272</v>
      </c>
      <c r="B226" t="inlineStr">
        <is>
          <t>BETA_DEBT</t>
        </is>
      </c>
      <c r="C226" t="inlineStr">
        <is>
          <t>GOI8.2-33</t>
        </is>
      </c>
      <c r="D226" s="19" t="n">
        <v>459400</v>
      </c>
      <c r="E226" s="21" t="n">
        <v>109.2185</v>
      </c>
      <c r="F226" s="20" t="n">
        <v>50174978.9</v>
      </c>
    </row>
    <row r="227">
      <c r="A227" s="22" t="n">
        <v>46272</v>
      </c>
      <c r="B227" t="inlineStr">
        <is>
          <t>BETA_DEBT</t>
        </is>
      </c>
      <c r="C227" t="inlineStr">
        <is>
          <t>SDL-MH-32</t>
        </is>
      </c>
      <c r="D227" s="19" t="n">
        <v>294000</v>
      </c>
      <c r="E227" s="21" t="n">
        <v>102.2469</v>
      </c>
      <c r="F227" s="20" t="n">
        <v>30060588.6</v>
      </c>
    </row>
    <row r="228">
      <c r="A228" s="22" t="n">
        <v>46272</v>
      </c>
      <c r="B228" t="inlineStr">
        <is>
          <t>BETA_DEBT</t>
        </is>
      </c>
      <c r="C228" t="inlineStr">
        <is>
          <t>CP-TATA</t>
        </is>
      </c>
      <c r="D228" s="19" t="n">
        <v>203200</v>
      </c>
      <c r="E228" s="21" t="n">
        <v>99.819</v>
      </c>
      <c r="F228" s="20" t="n">
        <v>20283220.8</v>
      </c>
    </row>
    <row r="229">
      <c r="A229" s="22" t="n">
        <v>46272</v>
      </c>
      <c r="B229" t="inlineStr">
        <is>
          <t>BETA_DEBT</t>
        </is>
      </c>
      <c r="C229" t="inlineStr">
        <is>
          <t>NCD-REL</t>
        </is>
      </c>
      <c r="D229" s="19" t="n">
        <v>32600</v>
      </c>
      <c r="E229" s="21" t="n">
        <v>1000.7969</v>
      </c>
      <c r="F229" s="20" t="n">
        <v>32625978.94</v>
      </c>
    </row>
    <row r="230">
      <c r="A230" s="22" t="n">
        <v>46273</v>
      </c>
      <c r="B230" t="inlineStr">
        <is>
          <t>BETA_DEBT</t>
        </is>
      </c>
      <c r="C230" t="inlineStr">
        <is>
          <t>GOI7.26-36</t>
        </is>
      </c>
      <c r="D230" s="19" t="n">
        <v>587600</v>
      </c>
      <c r="E230" s="21" t="n">
        <v>103.2626</v>
      </c>
      <c r="F230" s="20" t="n">
        <v>60677103.76</v>
      </c>
    </row>
    <row r="231">
      <c r="A231" s="22" t="n">
        <v>46273</v>
      </c>
      <c r="B231" t="inlineStr">
        <is>
          <t>BETA_DEBT</t>
        </is>
      </c>
      <c r="C231" t="inlineStr">
        <is>
          <t>GOI8.2-33</t>
        </is>
      </c>
      <c r="D231" s="19" t="n">
        <v>459400</v>
      </c>
      <c r="E231" s="21" t="n">
        <v>108.8823</v>
      </c>
      <c r="F231" s="20" t="n">
        <v>50020528.62</v>
      </c>
    </row>
    <row r="232">
      <c r="A232" s="22" t="n">
        <v>46273</v>
      </c>
      <c r="B232" t="inlineStr">
        <is>
          <t>BETA_DEBT</t>
        </is>
      </c>
      <c r="C232" t="inlineStr">
        <is>
          <t>SDL-MH-32</t>
        </is>
      </c>
      <c r="D232" s="19" t="n">
        <v>294000</v>
      </c>
      <c r="E232" s="21" t="n">
        <v>102.5714</v>
      </c>
      <c r="F232" s="20" t="n">
        <v>30155991.6</v>
      </c>
    </row>
    <row r="233">
      <c r="A233" s="22" t="n">
        <v>46273</v>
      </c>
      <c r="B233" t="inlineStr">
        <is>
          <t>BETA_DEBT</t>
        </is>
      </c>
      <c r="C233" t="inlineStr">
        <is>
          <t>CP-TATA</t>
        </is>
      </c>
      <c r="D233" s="19" t="n">
        <v>203900</v>
      </c>
      <c r="E233" s="21" t="n">
        <v>99.9662</v>
      </c>
      <c r="F233" s="20" t="n">
        <v>20383108.18</v>
      </c>
    </row>
    <row r="234">
      <c r="A234" s="22" t="n">
        <v>46273</v>
      </c>
      <c r="B234" t="inlineStr">
        <is>
          <t>BETA_DEBT</t>
        </is>
      </c>
      <c r="C234" t="inlineStr">
        <is>
          <t>NCD-REL</t>
        </is>
      </c>
      <c r="D234" s="19" t="n">
        <v>32600</v>
      </c>
      <c r="E234" s="21" t="n">
        <v>992.8874</v>
      </c>
      <c r="F234" s="20" t="n">
        <v>32368129.24</v>
      </c>
    </row>
    <row r="235">
      <c r="A235" s="22" t="n">
        <v>46274</v>
      </c>
      <c r="B235" t="inlineStr">
        <is>
          <t>BETA_DEBT</t>
        </is>
      </c>
      <c r="C235" t="inlineStr">
        <is>
          <t>GOI7.26-36</t>
        </is>
      </c>
      <c r="D235" s="19" t="n">
        <v>587600</v>
      </c>
      <c r="E235" s="21" t="n">
        <v>103.5649</v>
      </c>
      <c r="F235" s="20" t="n">
        <v>60854735.24</v>
      </c>
    </row>
    <row r="236">
      <c r="A236" s="22" t="n">
        <v>46274</v>
      </c>
      <c r="B236" t="inlineStr">
        <is>
          <t>BETA_DEBT</t>
        </is>
      </c>
      <c r="C236" t="inlineStr">
        <is>
          <t>GOI8.2-33</t>
        </is>
      </c>
      <c r="D236" s="19" t="n">
        <v>459400</v>
      </c>
      <c r="E236" s="21" t="n">
        <v>108.7744</v>
      </c>
      <c r="F236" s="20" t="n">
        <v>49970959.36</v>
      </c>
    </row>
    <row r="237">
      <c r="A237" s="22" t="n">
        <v>46274</v>
      </c>
      <c r="B237" t="inlineStr">
        <is>
          <t>BETA_DEBT</t>
        </is>
      </c>
      <c r="C237" t="inlineStr">
        <is>
          <t>SDL-MH-32</t>
        </is>
      </c>
      <c r="D237" s="19" t="n">
        <v>290500</v>
      </c>
      <c r="E237" s="21" t="n">
        <v>102.9374</v>
      </c>
      <c r="F237" s="20" t="n">
        <v>29903314.7</v>
      </c>
    </row>
    <row r="238">
      <c r="A238" s="22" t="n">
        <v>46274</v>
      </c>
      <c r="B238" t="inlineStr">
        <is>
          <t>BETA_DEBT</t>
        </is>
      </c>
      <c r="C238" t="inlineStr">
        <is>
          <t>CP-TATA</t>
        </is>
      </c>
      <c r="D238" s="19" t="n">
        <v>203900</v>
      </c>
      <c r="E238" s="21" t="n">
        <v>99.899</v>
      </c>
      <c r="F238" s="20" t="n">
        <v>20369406.1</v>
      </c>
    </row>
    <row r="239">
      <c r="A239" s="22" t="n">
        <v>46274</v>
      </c>
      <c r="B239" t="inlineStr">
        <is>
          <t>BETA_DEBT</t>
        </is>
      </c>
      <c r="C239" t="inlineStr">
        <is>
          <t>NCD-REL</t>
        </is>
      </c>
      <c r="D239" s="19" t="n">
        <v>32600</v>
      </c>
      <c r="E239" s="21" t="n">
        <v>994.9347</v>
      </c>
      <c r="F239" s="20" t="n">
        <v>32434871.22</v>
      </c>
    </row>
    <row r="240">
      <c r="A240" s="22" t="n">
        <v>46275</v>
      </c>
      <c r="B240" t="inlineStr">
        <is>
          <t>BETA_DEBT</t>
        </is>
      </c>
      <c r="C240" t="inlineStr">
        <is>
          <t>GOI7.26-36</t>
        </is>
      </c>
      <c r="D240" s="19" t="n">
        <v>585600</v>
      </c>
      <c r="E240" s="21" t="n">
        <v>103.7438</v>
      </c>
      <c r="F240" s="20" t="n">
        <v>60752369.28</v>
      </c>
    </row>
    <row r="241">
      <c r="A241" s="22" t="n">
        <v>46275</v>
      </c>
      <c r="B241" t="inlineStr">
        <is>
          <t>BETA_DEBT</t>
        </is>
      </c>
      <c r="C241" t="inlineStr">
        <is>
          <t>GOI8.2-33</t>
        </is>
      </c>
      <c r="D241" s="19" t="n">
        <v>459400</v>
      </c>
      <c r="E241" s="21" t="n">
        <v>109.0835</v>
      </c>
      <c r="F241" s="20" t="n">
        <v>50112959.9</v>
      </c>
    </row>
    <row r="242">
      <c r="A242" s="22" t="n">
        <v>46275</v>
      </c>
      <c r="B242" t="inlineStr">
        <is>
          <t>BETA_DEBT</t>
        </is>
      </c>
      <c r="C242" t="inlineStr">
        <is>
          <t>SDL-MH-32</t>
        </is>
      </c>
      <c r="D242" s="19" t="n">
        <v>290500</v>
      </c>
      <c r="E242" s="21" t="n">
        <v>102.1395</v>
      </c>
      <c r="F242" s="20" t="n">
        <v>29671524.75</v>
      </c>
    </row>
    <row r="243">
      <c r="A243" s="22" t="n">
        <v>46275</v>
      </c>
      <c r="B243" t="inlineStr">
        <is>
          <t>BETA_DEBT</t>
        </is>
      </c>
      <c r="C243" t="inlineStr">
        <is>
          <t>CP-TATA</t>
        </is>
      </c>
      <c r="D243" s="19" t="n">
        <v>204900</v>
      </c>
      <c r="E243" s="21" t="n">
        <v>99.8172</v>
      </c>
      <c r="F243" s="20" t="n">
        <v>20452544.28</v>
      </c>
    </row>
    <row r="244">
      <c r="A244" s="22" t="n">
        <v>46275</v>
      </c>
      <c r="B244" t="inlineStr">
        <is>
          <t>BETA_DEBT</t>
        </is>
      </c>
      <c r="C244" t="inlineStr">
        <is>
          <t>NCD-REL</t>
        </is>
      </c>
      <c r="D244" s="19" t="n">
        <v>32600</v>
      </c>
      <c r="E244" s="21" t="n">
        <v>994.6651000000001</v>
      </c>
      <c r="F244" s="20" t="n">
        <v>32426082.26</v>
      </c>
    </row>
    <row r="245">
      <c r="A245" s="22" t="n">
        <v>46276</v>
      </c>
      <c r="B245" t="inlineStr">
        <is>
          <t>BETA_DEBT</t>
        </is>
      </c>
      <c r="C245" t="inlineStr">
        <is>
          <t>GOI7.26-36</t>
        </is>
      </c>
      <c r="D245" s="19" t="n">
        <v>585600</v>
      </c>
      <c r="E245" s="21" t="n">
        <v>103.2504</v>
      </c>
      <c r="F245" s="20" t="n">
        <v>60463434.24</v>
      </c>
    </row>
    <row r="246">
      <c r="A246" s="22" t="n">
        <v>46276</v>
      </c>
      <c r="B246" t="inlineStr">
        <is>
          <t>BETA_DEBT</t>
        </is>
      </c>
      <c r="C246" t="inlineStr">
        <is>
          <t>GOI8.2-33</t>
        </is>
      </c>
      <c r="D246" s="19" t="n">
        <v>459400</v>
      </c>
      <c r="E246" s="21" t="n">
        <v>109.4927</v>
      </c>
      <c r="F246" s="20" t="n">
        <v>50300946.38</v>
      </c>
    </row>
    <row r="247">
      <c r="A247" s="22" t="n">
        <v>46276</v>
      </c>
      <c r="B247" t="inlineStr">
        <is>
          <t>BETA_DEBT</t>
        </is>
      </c>
      <c r="C247" t="inlineStr">
        <is>
          <t>SDL-MH-32</t>
        </is>
      </c>
      <c r="D247" s="19" t="n">
        <v>290500</v>
      </c>
      <c r="E247" s="21" t="n">
        <v>101.7987</v>
      </c>
      <c r="F247" s="20" t="n">
        <v>29572522.35</v>
      </c>
    </row>
    <row r="248">
      <c r="A248" s="22" t="n">
        <v>46276</v>
      </c>
      <c r="B248" t="inlineStr">
        <is>
          <t>BETA_DEBT</t>
        </is>
      </c>
      <c r="C248" t="inlineStr">
        <is>
          <t>CP-TATA</t>
        </is>
      </c>
      <c r="D248" s="19" t="n">
        <v>203900</v>
      </c>
      <c r="E248" s="21" t="n">
        <v>99.91079999999999</v>
      </c>
      <c r="F248" s="20" t="n">
        <v>20371812.12</v>
      </c>
    </row>
    <row r="249">
      <c r="A249" s="22" t="n">
        <v>46276</v>
      </c>
      <c r="B249" t="inlineStr">
        <is>
          <t>BETA_DEBT</t>
        </is>
      </c>
      <c r="C249" t="inlineStr">
        <is>
          <t>NCD-REL</t>
        </is>
      </c>
      <c r="D249" s="19" t="n">
        <v>32600</v>
      </c>
      <c r="E249" s="21" t="n">
        <v>988.0851</v>
      </c>
      <c r="F249" s="20" t="n">
        <v>32211574.26</v>
      </c>
    </row>
    <row r="250">
      <c r="A250" s="22" t="n">
        <v>46279</v>
      </c>
      <c r="B250" t="inlineStr">
        <is>
          <t>BETA_DEBT</t>
        </is>
      </c>
      <c r="C250" t="inlineStr">
        <is>
          <t>GOI7.26-36</t>
        </is>
      </c>
      <c r="D250" s="19" t="n">
        <v>586600</v>
      </c>
      <c r="E250" s="21" t="n">
        <v>103.0982</v>
      </c>
      <c r="F250" s="20" t="n">
        <v>60477404.12</v>
      </c>
    </row>
    <row r="251">
      <c r="A251" s="22" t="n">
        <v>46279</v>
      </c>
      <c r="B251" t="inlineStr">
        <is>
          <t>BETA_DEBT</t>
        </is>
      </c>
      <c r="C251" t="inlineStr">
        <is>
          <t>GOI8.2-33</t>
        </is>
      </c>
      <c r="D251" s="19" t="n">
        <v>459400</v>
      </c>
      <c r="E251" s="21" t="n">
        <v>108.9228</v>
      </c>
      <c r="F251" s="20" t="n">
        <v>50039134.32</v>
      </c>
    </row>
    <row r="252">
      <c r="A252" s="22" t="n">
        <v>46279</v>
      </c>
      <c r="B252" t="inlineStr">
        <is>
          <t>BETA_DEBT</t>
        </is>
      </c>
      <c r="C252" t="inlineStr">
        <is>
          <t>SDL-MH-32</t>
        </is>
      </c>
      <c r="D252" s="19" t="n">
        <v>290500</v>
      </c>
      <c r="E252" s="21" t="n">
        <v>101.8632</v>
      </c>
      <c r="F252" s="20" t="n">
        <v>29591259.6</v>
      </c>
    </row>
    <row r="253">
      <c r="A253" s="22" t="n">
        <v>46279</v>
      </c>
      <c r="B253" t="inlineStr">
        <is>
          <t>BETA_DEBT</t>
        </is>
      </c>
      <c r="C253" t="inlineStr">
        <is>
          <t>CP-TATA</t>
        </is>
      </c>
      <c r="D253" s="19" t="n">
        <v>203900</v>
      </c>
      <c r="E253" s="21" t="n">
        <v>99.8122</v>
      </c>
      <c r="F253" s="20" t="n">
        <v>20351707.58</v>
      </c>
    </row>
    <row r="254">
      <c r="A254" s="22" t="n">
        <v>46279</v>
      </c>
      <c r="B254" t="inlineStr">
        <is>
          <t>BETA_DEBT</t>
        </is>
      </c>
      <c r="C254" t="inlineStr">
        <is>
          <t>NCD-REL</t>
        </is>
      </c>
      <c r="D254" s="19" t="n">
        <v>29100</v>
      </c>
      <c r="E254" s="21" t="n">
        <v>987.966</v>
      </c>
      <c r="F254" s="20" t="n">
        <v>28749810.6</v>
      </c>
    </row>
    <row r="255">
      <c r="A255" s="22" t="n">
        <v>46280</v>
      </c>
      <c r="B255" t="inlineStr">
        <is>
          <t>BETA_DEBT</t>
        </is>
      </c>
      <c r="C255" t="inlineStr">
        <is>
          <t>GOI7.26-36</t>
        </is>
      </c>
      <c r="D255" s="19" t="n">
        <v>586600</v>
      </c>
      <c r="E255" s="21" t="n">
        <v>103.0366</v>
      </c>
      <c r="F255" s="20" t="n">
        <v>60441269.56</v>
      </c>
    </row>
    <row r="256">
      <c r="A256" s="22" t="n">
        <v>46280</v>
      </c>
      <c r="B256" t="inlineStr">
        <is>
          <t>BETA_DEBT</t>
        </is>
      </c>
      <c r="C256" t="inlineStr">
        <is>
          <t>GOI8.2-33</t>
        </is>
      </c>
      <c r="D256" s="19" t="n">
        <v>459400</v>
      </c>
      <c r="E256" s="21" t="n">
        <v>109.1012</v>
      </c>
      <c r="F256" s="20" t="n">
        <v>50121091.28</v>
      </c>
    </row>
    <row r="257">
      <c r="A257" s="22" t="n">
        <v>46280</v>
      </c>
      <c r="B257" t="inlineStr">
        <is>
          <t>BETA_DEBT</t>
        </is>
      </c>
      <c r="C257" t="inlineStr">
        <is>
          <t>SDL-MH-32</t>
        </is>
      </c>
      <c r="D257" s="19" t="n">
        <v>291900</v>
      </c>
      <c r="E257" s="21" t="n">
        <v>102.0787</v>
      </c>
      <c r="F257" s="20" t="n">
        <v>29796772.53</v>
      </c>
    </row>
    <row r="258">
      <c r="A258" s="22" t="n">
        <v>46280</v>
      </c>
      <c r="B258" t="inlineStr">
        <is>
          <t>BETA_DEBT</t>
        </is>
      </c>
      <c r="C258" t="inlineStr">
        <is>
          <t>CP-TATA</t>
        </is>
      </c>
      <c r="D258" s="19" t="n">
        <v>203900</v>
      </c>
      <c r="E258" s="21" t="n">
        <v>99.8694</v>
      </c>
      <c r="F258" s="20" t="n">
        <v>20363370.66</v>
      </c>
    </row>
    <row r="259">
      <c r="A259" s="22" t="n">
        <v>46280</v>
      </c>
      <c r="B259" t="inlineStr">
        <is>
          <t>BETA_DEBT</t>
        </is>
      </c>
      <c r="C259" t="inlineStr">
        <is>
          <t>NCD-REL</t>
        </is>
      </c>
      <c r="D259" s="19" t="n">
        <v>29100</v>
      </c>
      <c r="E259" s="21" t="n">
        <v>982.073</v>
      </c>
      <c r="F259" s="20" t="n">
        <v>28578324.3</v>
      </c>
    </row>
    <row r="260">
      <c r="A260" s="22" t="n">
        <v>46281</v>
      </c>
      <c r="B260" t="inlineStr">
        <is>
          <t>BETA_DEBT</t>
        </is>
      </c>
      <c r="C260" t="inlineStr">
        <is>
          <t>GOI7.26-36</t>
        </is>
      </c>
      <c r="D260" s="19" t="n">
        <v>586600</v>
      </c>
      <c r="E260" s="21" t="n">
        <v>103.0548</v>
      </c>
      <c r="F260" s="20" t="n">
        <v>60451945.68</v>
      </c>
    </row>
    <row r="261">
      <c r="A261" s="22" t="n">
        <v>46281</v>
      </c>
      <c r="B261" t="inlineStr">
        <is>
          <t>BETA_DEBT</t>
        </is>
      </c>
      <c r="C261" t="inlineStr">
        <is>
          <t>GOI8.2-33</t>
        </is>
      </c>
      <c r="D261" s="19" t="n">
        <v>459400</v>
      </c>
      <c r="E261" s="21" t="n">
        <v>109.7308</v>
      </c>
      <c r="F261" s="20" t="n">
        <v>50410329.52</v>
      </c>
    </row>
    <row r="262">
      <c r="A262" s="22" t="n">
        <v>46281</v>
      </c>
      <c r="B262" t="inlineStr">
        <is>
          <t>BETA_DEBT</t>
        </is>
      </c>
      <c r="C262" t="inlineStr">
        <is>
          <t>SDL-MH-32</t>
        </is>
      </c>
      <c r="D262" s="19" t="n">
        <v>285900</v>
      </c>
      <c r="E262" s="21" t="n">
        <v>102.6194</v>
      </c>
      <c r="F262" s="20" t="n">
        <v>29338886.46</v>
      </c>
    </row>
    <row r="263">
      <c r="A263" s="22" t="n">
        <v>46281</v>
      </c>
      <c r="B263" t="inlineStr">
        <is>
          <t>BETA_DEBT</t>
        </is>
      </c>
      <c r="C263" t="inlineStr">
        <is>
          <t>CP-TATA</t>
        </is>
      </c>
      <c r="D263" s="19" t="n">
        <v>204200</v>
      </c>
      <c r="E263" s="21" t="n">
        <v>99.8244</v>
      </c>
      <c r="F263" s="20" t="n">
        <v>20384142.48</v>
      </c>
    </row>
    <row r="264">
      <c r="A264" s="22" t="n">
        <v>46281</v>
      </c>
      <c r="B264" t="inlineStr">
        <is>
          <t>BETA_DEBT</t>
        </is>
      </c>
      <c r="C264" t="inlineStr">
        <is>
          <t>NCD-REL</t>
        </is>
      </c>
      <c r="D264" s="19" t="n">
        <v>29100</v>
      </c>
      <c r="E264" s="21" t="n">
        <v>982.0863000000001</v>
      </c>
      <c r="F264" s="20" t="n">
        <v>28578711.33</v>
      </c>
    </row>
    <row r="265">
      <c r="A265" s="22" t="n">
        <v>46282</v>
      </c>
      <c r="B265" t="inlineStr">
        <is>
          <t>BETA_DEBT</t>
        </is>
      </c>
      <c r="C265" t="inlineStr">
        <is>
          <t>GOI7.26-36</t>
        </is>
      </c>
      <c r="D265" s="19" t="n">
        <v>586600</v>
      </c>
      <c r="E265" s="21" t="n">
        <v>103.108</v>
      </c>
      <c r="F265" s="20" t="n">
        <v>60483152.8</v>
      </c>
    </row>
    <row r="266">
      <c r="A266" s="22" t="n">
        <v>46282</v>
      </c>
      <c r="B266" t="inlineStr">
        <is>
          <t>BETA_DEBT</t>
        </is>
      </c>
      <c r="C266" t="inlineStr">
        <is>
          <t>GOI8.2-33</t>
        </is>
      </c>
      <c r="D266" s="19" t="n">
        <v>460800</v>
      </c>
      <c r="E266" s="21" t="n">
        <v>110.1374</v>
      </c>
      <c r="F266" s="20" t="n">
        <v>50751313.92</v>
      </c>
    </row>
    <row r="267">
      <c r="A267" s="22" t="n">
        <v>46282</v>
      </c>
      <c r="B267" t="inlineStr">
        <is>
          <t>BETA_DEBT</t>
        </is>
      </c>
      <c r="C267" t="inlineStr">
        <is>
          <t>SDL-MH-32</t>
        </is>
      </c>
      <c r="D267" s="19" t="n">
        <v>285900</v>
      </c>
      <c r="E267" s="21" t="n">
        <v>102.8245</v>
      </c>
      <c r="F267" s="20" t="n">
        <v>29397524.55</v>
      </c>
    </row>
    <row r="268">
      <c r="A268" s="22" t="n">
        <v>46282</v>
      </c>
      <c r="B268" t="inlineStr">
        <is>
          <t>BETA_DEBT</t>
        </is>
      </c>
      <c r="C268" t="inlineStr">
        <is>
          <t>CP-TATA</t>
        </is>
      </c>
      <c r="D268" s="19" t="n">
        <v>204200</v>
      </c>
      <c r="E268" s="21" t="n">
        <v>99.8258</v>
      </c>
      <c r="F268" s="20" t="n">
        <v>20384428.36</v>
      </c>
    </row>
    <row r="269">
      <c r="A269" s="22" t="n">
        <v>46282</v>
      </c>
      <c r="B269" t="inlineStr">
        <is>
          <t>BETA_DEBT</t>
        </is>
      </c>
      <c r="C269" t="inlineStr">
        <is>
          <t>NCD-REL</t>
        </is>
      </c>
      <c r="D269" s="19" t="n">
        <v>29100</v>
      </c>
      <c r="E269" s="21" t="n">
        <v>982.766</v>
      </c>
      <c r="F269" s="20" t="n">
        <v>28598490.6</v>
      </c>
    </row>
    <row r="270">
      <c r="A270" s="22" t="n">
        <v>46283</v>
      </c>
      <c r="B270" t="inlineStr">
        <is>
          <t>BETA_DEBT</t>
        </is>
      </c>
      <c r="C270" t="inlineStr">
        <is>
          <t>GOI7.26-36</t>
        </is>
      </c>
      <c r="D270" s="19" t="n">
        <v>584600</v>
      </c>
      <c r="E270" s="21" t="n">
        <v>103.0155</v>
      </c>
      <c r="F270" s="20" t="n">
        <v>60222861.3</v>
      </c>
    </row>
    <row r="271">
      <c r="A271" s="22" t="n">
        <v>46283</v>
      </c>
      <c r="B271" t="inlineStr">
        <is>
          <t>BETA_DEBT</t>
        </is>
      </c>
      <c r="C271" t="inlineStr">
        <is>
          <t>GOI8.2-33</t>
        </is>
      </c>
      <c r="D271" s="19" t="n">
        <v>460800</v>
      </c>
      <c r="E271" s="21" t="n">
        <v>110.0713</v>
      </c>
      <c r="F271" s="20" t="n">
        <v>50720855.04</v>
      </c>
    </row>
    <row r="272">
      <c r="A272" s="22" t="n">
        <v>46283</v>
      </c>
      <c r="B272" t="inlineStr">
        <is>
          <t>BETA_DEBT</t>
        </is>
      </c>
      <c r="C272" t="inlineStr">
        <is>
          <t>SDL-MH-32</t>
        </is>
      </c>
      <c r="D272" s="19" t="n">
        <v>285900</v>
      </c>
      <c r="E272" s="21" t="n">
        <v>102.7388</v>
      </c>
      <c r="F272" s="20" t="n">
        <v>29373022.92</v>
      </c>
    </row>
    <row r="273">
      <c r="A273" s="22" t="n">
        <v>46283</v>
      </c>
      <c r="B273" t="inlineStr">
        <is>
          <t>BETA_DEBT</t>
        </is>
      </c>
      <c r="C273" t="inlineStr">
        <is>
          <t>CP-TATA</t>
        </is>
      </c>
      <c r="D273" s="19" t="n">
        <v>204200</v>
      </c>
      <c r="E273" s="21" t="n">
        <v>99.6561</v>
      </c>
      <c r="F273" s="20" t="n">
        <v>20349775.62</v>
      </c>
    </row>
    <row r="274">
      <c r="A274" s="22" t="n">
        <v>46283</v>
      </c>
      <c r="B274" t="inlineStr">
        <is>
          <t>BETA_DEBT</t>
        </is>
      </c>
      <c r="C274" t="inlineStr">
        <is>
          <t>NCD-REL</t>
        </is>
      </c>
      <c r="D274" s="19" t="n">
        <v>29500</v>
      </c>
      <c r="E274" s="21" t="n">
        <v>984.2786</v>
      </c>
      <c r="F274" s="20" t="n">
        <v>29036218.7</v>
      </c>
    </row>
    <row r="275">
      <c r="A275" s="22" t="n">
        <v>46286</v>
      </c>
      <c r="B275" t="inlineStr">
        <is>
          <t>BETA_DEBT</t>
        </is>
      </c>
      <c r="C275" t="inlineStr">
        <is>
          <t>GOI7.26-36</t>
        </is>
      </c>
      <c r="D275" s="19" t="n">
        <v>584600</v>
      </c>
      <c r="E275" s="21" t="n">
        <v>103.0865</v>
      </c>
      <c r="F275" s="20" t="n">
        <v>60264367.9</v>
      </c>
    </row>
    <row r="276">
      <c r="A276" s="22" t="n">
        <v>46286</v>
      </c>
      <c r="B276" t="inlineStr">
        <is>
          <t>BETA_DEBT</t>
        </is>
      </c>
      <c r="C276" t="inlineStr">
        <is>
          <t>GOI8.2-33</t>
        </is>
      </c>
      <c r="D276" s="19" t="n">
        <v>460800</v>
      </c>
      <c r="E276" s="21" t="n">
        <v>109.8861</v>
      </c>
      <c r="F276" s="20" t="n">
        <v>50635514.88</v>
      </c>
    </row>
    <row r="277">
      <c r="A277" s="22" t="n">
        <v>46286</v>
      </c>
      <c r="B277" t="inlineStr">
        <is>
          <t>BETA_DEBT</t>
        </is>
      </c>
      <c r="C277" t="inlineStr">
        <is>
          <t>SDL-MH-32</t>
        </is>
      </c>
      <c r="D277" s="19" t="n">
        <v>285900</v>
      </c>
      <c r="E277" s="21" t="n">
        <v>102.7673</v>
      </c>
      <c r="F277" s="20" t="n">
        <v>29381171.07</v>
      </c>
    </row>
    <row r="278">
      <c r="A278" s="22" t="n">
        <v>46286</v>
      </c>
      <c r="B278" t="inlineStr">
        <is>
          <t>BETA_DEBT</t>
        </is>
      </c>
      <c r="C278" t="inlineStr">
        <is>
          <t>CP-TATA</t>
        </is>
      </c>
      <c r="D278" s="19" t="n">
        <v>200700</v>
      </c>
      <c r="E278" s="21" t="n">
        <v>99.73909999999999</v>
      </c>
      <c r="F278" s="20" t="n">
        <v>20017637.37</v>
      </c>
    </row>
    <row r="279">
      <c r="A279" s="22" t="n">
        <v>46286</v>
      </c>
      <c r="B279" t="inlineStr">
        <is>
          <t>BETA_DEBT</t>
        </is>
      </c>
      <c r="C279" t="inlineStr">
        <is>
          <t>NCD-REL</t>
        </is>
      </c>
      <c r="D279" s="19" t="n">
        <v>30100</v>
      </c>
      <c r="E279" s="21" t="n">
        <v>985.2512</v>
      </c>
      <c r="F279" s="20" t="n">
        <v>29656061.12</v>
      </c>
    </row>
    <row r="280">
      <c r="A280" s="22" t="n">
        <v>46287</v>
      </c>
      <c r="B280" t="inlineStr">
        <is>
          <t>BETA_DEBT</t>
        </is>
      </c>
      <c r="C280" t="inlineStr">
        <is>
          <t>GOI7.26-36</t>
        </is>
      </c>
      <c r="D280" s="19" t="n">
        <v>584600</v>
      </c>
      <c r="E280" s="21" t="n">
        <v>102.9176</v>
      </c>
      <c r="F280" s="20" t="n">
        <v>60165628.96</v>
      </c>
    </row>
    <row r="281">
      <c r="A281" s="22" t="n">
        <v>46287</v>
      </c>
      <c r="B281" t="inlineStr">
        <is>
          <t>BETA_DEBT</t>
        </is>
      </c>
      <c r="C281" t="inlineStr">
        <is>
          <t>GOI8.2-33</t>
        </is>
      </c>
      <c r="D281" s="19" t="n">
        <v>456800</v>
      </c>
      <c r="E281" s="21" t="n">
        <v>109.8016</v>
      </c>
      <c r="F281" s="20" t="n">
        <v>50157370.88</v>
      </c>
    </row>
    <row r="282">
      <c r="A282" s="22" t="n">
        <v>46287</v>
      </c>
      <c r="B282" t="inlineStr">
        <is>
          <t>BETA_DEBT</t>
        </is>
      </c>
      <c r="C282" t="inlineStr">
        <is>
          <t>SDL-MH-32</t>
        </is>
      </c>
      <c r="D282" s="19" t="n">
        <v>285900</v>
      </c>
      <c r="E282" s="21" t="n">
        <v>102.6928</v>
      </c>
      <c r="F282" s="20" t="n">
        <v>29359871.52</v>
      </c>
    </row>
    <row r="283">
      <c r="A283" s="22" t="n">
        <v>46287</v>
      </c>
      <c r="B283" t="inlineStr">
        <is>
          <t>BETA_DEBT</t>
        </is>
      </c>
      <c r="C283" t="inlineStr">
        <is>
          <t>CP-TATA</t>
        </is>
      </c>
      <c r="D283" s="19" t="n">
        <v>200700</v>
      </c>
      <c r="E283" s="21" t="n">
        <v>99.7012</v>
      </c>
      <c r="F283" s="20" t="n">
        <v>20010030.84</v>
      </c>
    </row>
    <row r="284">
      <c r="A284" s="22" t="n">
        <v>46287</v>
      </c>
      <c r="B284" t="inlineStr">
        <is>
          <t>BETA_DEBT</t>
        </is>
      </c>
      <c r="C284" t="inlineStr">
        <is>
          <t>NCD-REL</t>
        </is>
      </c>
      <c r="D284" s="19" t="n">
        <v>29900</v>
      </c>
      <c r="E284" s="21" t="n">
        <v>986.043</v>
      </c>
      <c r="F284" s="20" t="n">
        <v>29482685.7</v>
      </c>
    </row>
    <row r="285">
      <c r="A285" s="22" t="n">
        <v>46288</v>
      </c>
      <c r="B285" t="inlineStr">
        <is>
          <t>BETA_DEBT</t>
        </is>
      </c>
      <c r="C285" t="inlineStr">
        <is>
          <t>GOI7.26-36</t>
        </is>
      </c>
      <c r="D285" s="19" t="n">
        <v>584600</v>
      </c>
      <c r="E285" s="21" t="n">
        <v>102.6532</v>
      </c>
      <c r="F285" s="20" t="n">
        <v>60011060.72</v>
      </c>
    </row>
    <row r="286">
      <c r="A286" s="22" t="n">
        <v>46288</v>
      </c>
      <c r="B286" t="inlineStr">
        <is>
          <t>BETA_DEBT</t>
        </is>
      </c>
      <c r="C286" t="inlineStr">
        <is>
          <t>GOI8.2-33</t>
        </is>
      </c>
      <c r="D286" s="19" t="n">
        <v>453800</v>
      </c>
      <c r="E286" s="21" t="n">
        <v>109.435</v>
      </c>
      <c r="F286" s="20" t="n">
        <v>49661603</v>
      </c>
    </row>
    <row r="287">
      <c r="A287" s="22" t="n">
        <v>46288</v>
      </c>
      <c r="B287" t="inlineStr">
        <is>
          <t>BETA_DEBT</t>
        </is>
      </c>
      <c r="C287" t="inlineStr">
        <is>
          <t>SDL-MH-32</t>
        </is>
      </c>
      <c r="D287" s="19" t="n">
        <v>285900</v>
      </c>
      <c r="E287" s="21" t="n">
        <v>102.8066</v>
      </c>
      <c r="F287" s="20" t="n">
        <v>29392406.94</v>
      </c>
    </row>
    <row r="288">
      <c r="A288" s="22" t="n">
        <v>46288</v>
      </c>
      <c r="B288" t="inlineStr">
        <is>
          <t>BETA_DEBT</t>
        </is>
      </c>
      <c r="C288" t="inlineStr">
        <is>
          <t>CP-TATA</t>
        </is>
      </c>
      <c r="D288" s="19" t="n">
        <v>200700</v>
      </c>
      <c r="E288" s="21" t="n">
        <v>99.6236</v>
      </c>
      <c r="F288" s="20" t="n">
        <v>19994456.52</v>
      </c>
    </row>
    <row r="289">
      <c r="A289" s="22" t="n">
        <v>46288</v>
      </c>
      <c r="B289" t="inlineStr">
        <is>
          <t>BETA_DEBT</t>
        </is>
      </c>
      <c r="C289" t="inlineStr">
        <is>
          <t>NCD-REL</t>
        </is>
      </c>
      <c r="D289" s="19" t="n">
        <v>29900</v>
      </c>
      <c r="E289" s="21" t="n">
        <v>981.6655</v>
      </c>
      <c r="F289" s="20" t="n">
        <v>29351798.45</v>
      </c>
    </row>
    <row r="290">
      <c r="A290" s="22" t="n">
        <v>46289</v>
      </c>
      <c r="B290" t="inlineStr">
        <is>
          <t>BETA_DEBT</t>
        </is>
      </c>
      <c r="C290" t="inlineStr">
        <is>
          <t>GOI7.26-36</t>
        </is>
      </c>
      <c r="D290" s="19" t="n">
        <v>584900</v>
      </c>
      <c r="E290" s="21" t="n">
        <v>103.1323</v>
      </c>
      <c r="F290" s="20" t="n">
        <v>60322082.27</v>
      </c>
    </row>
    <row r="291">
      <c r="A291" s="22" t="n">
        <v>46289</v>
      </c>
      <c r="B291" t="inlineStr">
        <is>
          <t>BETA_DEBT</t>
        </is>
      </c>
      <c r="C291" t="inlineStr">
        <is>
          <t>GOI8.2-33</t>
        </is>
      </c>
      <c r="D291" s="19" t="n">
        <v>453800</v>
      </c>
      <c r="E291" s="21" t="n">
        <v>109.3613</v>
      </c>
      <c r="F291" s="20" t="n">
        <v>49628157.94</v>
      </c>
    </row>
    <row r="292">
      <c r="A292" s="22" t="n">
        <v>46289</v>
      </c>
      <c r="B292" t="inlineStr">
        <is>
          <t>BETA_DEBT</t>
        </is>
      </c>
      <c r="C292" t="inlineStr">
        <is>
          <t>SDL-MH-32</t>
        </is>
      </c>
      <c r="D292" s="19" t="n">
        <v>285900</v>
      </c>
      <c r="E292" s="21" t="n">
        <v>103.0962</v>
      </c>
      <c r="F292" s="20" t="n">
        <v>29475203.58</v>
      </c>
    </row>
    <row r="293">
      <c r="A293" s="22" t="n">
        <v>46289</v>
      </c>
      <c r="B293" t="inlineStr">
        <is>
          <t>BETA_DEBT</t>
        </is>
      </c>
      <c r="C293" t="inlineStr">
        <is>
          <t>CP-TATA</t>
        </is>
      </c>
      <c r="D293" s="19" t="n">
        <v>200700</v>
      </c>
      <c r="E293" s="21" t="n">
        <v>99.8424</v>
      </c>
      <c r="F293" s="20" t="n">
        <v>20038369.68</v>
      </c>
    </row>
    <row r="294">
      <c r="A294" s="22" t="n">
        <v>46289</v>
      </c>
      <c r="B294" t="inlineStr">
        <is>
          <t>BETA_DEBT</t>
        </is>
      </c>
      <c r="C294" t="inlineStr">
        <is>
          <t>NCD-REL</t>
        </is>
      </c>
      <c r="D294" s="19" t="n">
        <v>27700</v>
      </c>
      <c r="E294" s="21" t="n">
        <v>980.2768</v>
      </c>
      <c r="F294" s="20" t="n">
        <v>27153667.36</v>
      </c>
    </row>
    <row r="295">
      <c r="A295" s="22" t="n">
        <v>46290</v>
      </c>
      <c r="B295" t="inlineStr">
        <is>
          <t>BETA_DEBT</t>
        </is>
      </c>
      <c r="C295" t="inlineStr">
        <is>
          <t>GOI7.26-36</t>
        </is>
      </c>
      <c r="D295" s="19" t="n">
        <v>584900</v>
      </c>
      <c r="E295" s="21" t="n">
        <v>103.2561</v>
      </c>
      <c r="F295" s="20" t="n">
        <v>60394492.89</v>
      </c>
    </row>
    <row r="296">
      <c r="A296" s="22" t="n">
        <v>46290</v>
      </c>
      <c r="B296" t="inlineStr">
        <is>
          <t>BETA_DEBT</t>
        </is>
      </c>
      <c r="C296" t="inlineStr">
        <is>
          <t>GOI8.2-33</t>
        </is>
      </c>
      <c r="D296" s="19" t="n">
        <v>454300</v>
      </c>
      <c r="E296" s="21" t="n">
        <v>109.3129</v>
      </c>
      <c r="F296" s="20" t="n">
        <v>49660850.47</v>
      </c>
    </row>
    <row r="297">
      <c r="A297" s="22" t="n">
        <v>46290</v>
      </c>
      <c r="B297" t="inlineStr">
        <is>
          <t>BETA_DEBT</t>
        </is>
      </c>
      <c r="C297" t="inlineStr">
        <is>
          <t>SDL-MH-32</t>
        </is>
      </c>
      <c r="D297" s="19" t="n">
        <v>285100</v>
      </c>
      <c r="E297" s="21" t="n">
        <v>102.9685</v>
      </c>
      <c r="F297" s="20" t="n">
        <v>29356319.35</v>
      </c>
    </row>
    <row r="298">
      <c r="A298" s="22" t="n">
        <v>46290</v>
      </c>
      <c r="B298" t="inlineStr">
        <is>
          <t>BETA_DEBT</t>
        </is>
      </c>
      <c r="C298" t="inlineStr">
        <is>
          <t>CP-TATA</t>
        </is>
      </c>
      <c r="D298" s="19" t="n">
        <v>200700</v>
      </c>
      <c r="E298" s="21" t="n">
        <v>99.9255</v>
      </c>
      <c r="F298" s="20" t="n">
        <v>20055047.85</v>
      </c>
    </row>
    <row r="299">
      <c r="A299" s="22" t="n">
        <v>46290</v>
      </c>
      <c r="B299" t="inlineStr">
        <is>
          <t>BETA_DEBT</t>
        </is>
      </c>
      <c r="C299" t="inlineStr">
        <is>
          <t>NCD-REL</t>
        </is>
      </c>
      <c r="D299" s="19" t="n">
        <v>27700</v>
      </c>
      <c r="E299" s="21" t="n">
        <v>978.3896999999999</v>
      </c>
      <c r="F299" s="20" t="n">
        <v>27101394.69</v>
      </c>
    </row>
    <row r="300">
      <c r="A300" s="22" t="n">
        <v>46293</v>
      </c>
      <c r="B300" t="inlineStr">
        <is>
          <t>BETA_DEBT</t>
        </is>
      </c>
      <c r="C300" t="inlineStr">
        <is>
          <t>GOI7.26-36</t>
        </is>
      </c>
      <c r="D300" s="19" t="n">
        <v>584900</v>
      </c>
      <c r="E300" s="21" t="n">
        <v>103.4043</v>
      </c>
      <c r="F300" s="20" t="n">
        <v>60481175.07</v>
      </c>
    </row>
    <row r="301">
      <c r="A301" s="22" t="n">
        <v>46293</v>
      </c>
      <c r="B301" t="inlineStr">
        <is>
          <t>BETA_DEBT</t>
        </is>
      </c>
      <c r="C301" t="inlineStr">
        <is>
          <t>GOI8.2-33</t>
        </is>
      </c>
      <c r="D301" s="19" t="n">
        <v>454300</v>
      </c>
      <c r="E301" s="21" t="n">
        <v>109.2783</v>
      </c>
      <c r="F301" s="20" t="n">
        <v>49645131.69</v>
      </c>
    </row>
    <row r="302">
      <c r="A302" s="22" t="n">
        <v>46293</v>
      </c>
      <c r="B302" t="inlineStr">
        <is>
          <t>BETA_DEBT</t>
        </is>
      </c>
      <c r="C302" t="inlineStr">
        <is>
          <t>SDL-MH-32</t>
        </is>
      </c>
      <c r="D302" s="19" t="n">
        <v>286600</v>
      </c>
      <c r="E302" s="21" t="n">
        <v>102.6457</v>
      </c>
      <c r="F302" s="20" t="n">
        <v>29418257.62</v>
      </c>
    </row>
    <row r="303">
      <c r="A303" s="22" t="n">
        <v>46293</v>
      </c>
      <c r="B303" t="inlineStr">
        <is>
          <t>BETA_DEBT</t>
        </is>
      </c>
      <c r="C303" t="inlineStr">
        <is>
          <t>CP-TATA</t>
        </is>
      </c>
      <c r="D303" s="19" t="n">
        <v>200700</v>
      </c>
      <c r="E303" s="21" t="n">
        <v>100.2881</v>
      </c>
      <c r="F303" s="20" t="n">
        <v>20127821.67</v>
      </c>
    </row>
    <row r="304">
      <c r="A304" s="22" t="n">
        <v>46293</v>
      </c>
      <c r="B304" t="inlineStr">
        <is>
          <t>BETA_DEBT</t>
        </is>
      </c>
      <c r="C304" t="inlineStr">
        <is>
          <t>NCD-REL</t>
        </is>
      </c>
      <c r="D304" s="19" t="n">
        <v>27800</v>
      </c>
      <c r="E304" s="21" t="n">
        <v>977.5848</v>
      </c>
      <c r="F304" s="20" t="n">
        <v>27176857.44</v>
      </c>
    </row>
    <row r="305">
      <c r="A305" s="22" t="n">
        <v>46294</v>
      </c>
      <c r="B305" t="inlineStr">
        <is>
          <t>BETA_DEBT</t>
        </is>
      </c>
      <c r="C305" t="inlineStr">
        <is>
          <t>GOI7.26-36</t>
        </is>
      </c>
      <c r="D305" s="19" t="n">
        <v>584200</v>
      </c>
      <c r="E305" s="21" t="n">
        <v>102.9219</v>
      </c>
      <c r="F305" s="20" t="n">
        <v>60126973.98</v>
      </c>
    </row>
    <row r="306">
      <c r="A306" s="22" t="n">
        <v>46294</v>
      </c>
      <c r="B306" t="inlineStr">
        <is>
          <t>BETA_DEBT</t>
        </is>
      </c>
      <c r="C306" t="inlineStr">
        <is>
          <t>GOI8.2-33</t>
        </is>
      </c>
      <c r="D306" s="19" t="n">
        <v>453300</v>
      </c>
      <c r="E306" s="21" t="n">
        <v>109.6791</v>
      </c>
      <c r="F306" s="20" t="n">
        <v>49717536.03</v>
      </c>
    </row>
    <row r="307">
      <c r="A307" s="22" t="n">
        <v>46294</v>
      </c>
      <c r="B307" t="inlineStr">
        <is>
          <t>BETA_DEBT</t>
        </is>
      </c>
      <c r="C307" t="inlineStr">
        <is>
          <t>SDL-MH-32</t>
        </is>
      </c>
      <c r="D307" s="19" t="n">
        <v>286600</v>
      </c>
      <c r="E307" s="21" t="n">
        <v>102.3071</v>
      </c>
      <c r="F307" s="20" t="n">
        <v>29321214.86</v>
      </c>
    </row>
    <row r="308">
      <c r="A308" s="22" t="n">
        <v>46294</v>
      </c>
      <c r="B308" t="inlineStr">
        <is>
          <t>BETA_DEBT</t>
        </is>
      </c>
      <c r="C308" t="inlineStr">
        <is>
          <t>CP-TATA</t>
        </is>
      </c>
      <c r="D308" s="19" t="n">
        <v>200400</v>
      </c>
      <c r="E308" s="21" t="n">
        <v>100.341</v>
      </c>
      <c r="F308" s="20" t="n">
        <v>20108336.4</v>
      </c>
    </row>
    <row r="309">
      <c r="A309" s="22" t="n">
        <v>46294</v>
      </c>
      <c r="B309" t="inlineStr">
        <is>
          <t>BETA_DEBT</t>
        </is>
      </c>
      <c r="C309" t="inlineStr">
        <is>
          <t>NCD-REL</t>
        </is>
      </c>
      <c r="D309" s="19" t="n">
        <v>27800</v>
      </c>
      <c r="E309" s="21" t="n">
        <v>978.7578999999999</v>
      </c>
      <c r="F309" s="20" t="n">
        <v>27209469.62</v>
      </c>
    </row>
    <row r="310">
      <c r="A310" s="22" t="n">
        <v>46295</v>
      </c>
      <c r="B310" t="inlineStr">
        <is>
          <t>BETA_DEBT</t>
        </is>
      </c>
      <c r="C310" t="inlineStr">
        <is>
          <t>GOI7.26-36</t>
        </is>
      </c>
      <c r="D310" s="19" t="n">
        <v>584200</v>
      </c>
      <c r="E310" s="21" t="n">
        <v>102.883</v>
      </c>
      <c r="F310" s="20" t="n">
        <v>60104248.6</v>
      </c>
    </row>
    <row r="311">
      <c r="A311" s="22" t="n">
        <v>46295</v>
      </c>
      <c r="B311" t="inlineStr">
        <is>
          <t>BETA_DEBT</t>
        </is>
      </c>
      <c r="C311" t="inlineStr">
        <is>
          <t>GOI8.2-33</t>
        </is>
      </c>
      <c r="D311" s="19" t="n">
        <v>453300</v>
      </c>
      <c r="E311" s="21" t="n">
        <v>109.6165</v>
      </c>
      <c r="F311" s="20" t="n">
        <v>49689159.45</v>
      </c>
    </row>
    <row r="312">
      <c r="A312" s="22" t="n">
        <v>46295</v>
      </c>
      <c r="B312" t="inlineStr">
        <is>
          <t>BETA_DEBT</t>
        </is>
      </c>
      <c r="C312" t="inlineStr">
        <is>
          <t>SDL-MH-32</t>
        </is>
      </c>
      <c r="D312" s="19" t="n">
        <v>286600</v>
      </c>
      <c r="E312" s="21" t="n">
        <v>102.7683</v>
      </c>
      <c r="F312" s="20" t="n">
        <v>29453394.78</v>
      </c>
    </row>
    <row r="313">
      <c r="A313" s="22" t="n">
        <v>46295</v>
      </c>
      <c r="B313" t="inlineStr">
        <is>
          <t>BETA_DEBT</t>
        </is>
      </c>
      <c r="C313" t="inlineStr">
        <is>
          <t>CP-TATA</t>
        </is>
      </c>
      <c r="D313" s="19" t="n">
        <v>200400</v>
      </c>
      <c r="E313" s="21" t="n">
        <v>100.3181</v>
      </c>
      <c r="F313" s="20" t="n">
        <v>20103747.24</v>
      </c>
    </row>
    <row r="314">
      <c r="A314" s="22" t="n">
        <v>46295</v>
      </c>
      <c r="B314" t="inlineStr">
        <is>
          <t>BETA_DEBT</t>
        </is>
      </c>
      <c r="C314" t="inlineStr">
        <is>
          <t>NCD-REL</t>
        </is>
      </c>
      <c r="D314" s="19" t="n">
        <v>26600</v>
      </c>
      <c r="E314" s="21" t="n">
        <v>981.2989</v>
      </c>
      <c r="F314" s="20" t="n">
        <v>26102550.74</v>
      </c>
    </row>
    <row r="315">
      <c r="A315" s="22" t="n">
        <v>46296</v>
      </c>
      <c r="B315" t="inlineStr">
        <is>
          <t>BETA_DEBT</t>
        </is>
      </c>
      <c r="C315" t="inlineStr">
        <is>
          <t>GOI7.26-36</t>
        </is>
      </c>
      <c r="D315" s="19" t="n">
        <v>584200</v>
      </c>
      <c r="E315" s="21" t="n">
        <v>103.1482</v>
      </c>
      <c r="F315" s="20" t="n">
        <v>60259178.44</v>
      </c>
    </row>
    <row r="316">
      <c r="A316" s="22" t="n">
        <v>46296</v>
      </c>
      <c r="B316" t="inlineStr">
        <is>
          <t>BETA_DEBT</t>
        </is>
      </c>
      <c r="C316" t="inlineStr">
        <is>
          <t>GOI8.2-33</t>
        </is>
      </c>
      <c r="D316" s="19" t="n">
        <v>451200</v>
      </c>
      <c r="E316" s="21" t="n">
        <v>109.1503</v>
      </c>
      <c r="F316" s="20" t="n">
        <v>49248615.36</v>
      </c>
    </row>
    <row r="317">
      <c r="A317" s="22" t="n">
        <v>46296</v>
      </c>
      <c r="B317" t="inlineStr">
        <is>
          <t>BETA_DEBT</t>
        </is>
      </c>
      <c r="C317" t="inlineStr">
        <is>
          <t>SDL-MH-32</t>
        </is>
      </c>
      <c r="D317" s="19" t="n">
        <v>286600</v>
      </c>
      <c r="E317" s="21" t="n">
        <v>103.3072</v>
      </c>
      <c r="F317" s="20" t="n">
        <v>29607843.52</v>
      </c>
    </row>
    <row r="318">
      <c r="A318" s="22" t="n">
        <v>46296</v>
      </c>
      <c r="B318" t="inlineStr">
        <is>
          <t>BETA_DEBT</t>
        </is>
      </c>
      <c r="C318" t="inlineStr">
        <is>
          <t>CP-TATA</t>
        </is>
      </c>
      <c r="D318" s="19" t="n">
        <v>200400</v>
      </c>
      <c r="E318" s="21" t="n">
        <v>100.341</v>
      </c>
      <c r="F318" s="20" t="n">
        <v>20108336.4</v>
      </c>
    </row>
    <row r="319">
      <c r="A319" s="22" t="n">
        <v>46296</v>
      </c>
      <c r="B319" t="inlineStr">
        <is>
          <t>BETA_DEBT</t>
        </is>
      </c>
      <c r="C319" t="inlineStr">
        <is>
          <t>NCD-REL</t>
        </is>
      </c>
      <c r="D319" s="19" t="n">
        <v>26600</v>
      </c>
      <c r="E319" s="21" t="n">
        <v>987.8344</v>
      </c>
      <c r="F319" s="20" t="n">
        <v>26276395.04</v>
      </c>
    </row>
    <row r="320">
      <c r="A320" s="22" t="n">
        <v>46297</v>
      </c>
      <c r="B320" t="inlineStr">
        <is>
          <t>BETA_DEBT</t>
        </is>
      </c>
      <c r="C320" t="inlineStr">
        <is>
          <t>GOI7.26-36</t>
        </is>
      </c>
      <c r="D320" s="19" t="n">
        <v>584200</v>
      </c>
      <c r="E320" s="21" t="n">
        <v>102.761</v>
      </c>
      <c r="F320" s="20" t="n">
        <v>60032976.2</v>
      </c>
    </row>
    <row r="321">
      <c r="A321" s="22" t="n">
        <v>46297</v>
      </c>
      <c r="B321" t="inlineStr">
        <is>
          <t>BETA_DEBT</t>
        </is>
      </c>
      <c r="C321" t="inlineStr">
        <is>
          <t>GOI8.2-33</t>
        </is>
      </c>
      <c r="D321" s="19" t="n">
        <v>451200</v>
      </c>
      <c r="E321" s="21" t="n">
        <v>109.5075</v>
      </c>
      <c r="F321" s="20" t="n">
        <v>49409784</v>
      </c>
    </row>
    <row r="322">
      <c r="A322" s="22" t="n">
        <v>46297</v>
      </c>
      <c r="B322" t="inlineStr">
        <is>
          <t>BETA_DEBT</t>
        </is>
      </c>
      <c r="C322" t="inlineStr">
        <is>
          <t>SDL-MH-32</t>
        </is>
      </c>
      <c r="D322" s="19" t="n">
        <v>286600</v>
      </c>
      <c r="E322" s="21" t="n">
        <v>103.7296</v>
      </c>
      <c r="F322" s="20" t="n">
        <v>29728903.36</v>
      </c>
    </row>
    <row r="323">
      <c r="A323" s="22" t="n">
        <v>46297</v>
      </c>
      <c r="B323" t="inlineStr">
        <is>
          <t>BETA_DEBT</t>
        </is>
      </c>
      <c r="C323" t="inlineStr">
        <is>
          <t>CP-TATA</t>
        </is>
      </c>
      <c r="D323" s="19" t="n">
        <v>198400</v>
      </c>
      <c r="E323" s="21" t="n">
        <v>100.5143</v>
      </c>
      <c r="F323" s="20" t="n">
        <v>19942037.12</v>
      </c>
    </row>
    <row r="324">
      <c r="A324" s="22" t="n">
        <v>46297</v>
      </c>
      <c r="B324" t="inlineStr">
        <is>
          <t>BETA_DEBT</t>
        </is>
      </c>
      <c r="C324" t="inlineStr">
        <is>
          <t>NCD-REL</t>
        </is>
      </c>
      <c r="D324" s="19" t="n">
        <v>22600</v>
      </c>
      <c r="E324" s="21" t="n">
        <v>977.8031</v>
      </c>
      <c r="F324" s="20" t="n">
        <v>22098350.06</v>
      </c>
    </row>
    <row r="325">
      <c r="A325" s="22" t="n">
        <v>46300</v>
      </c>
      <c r="B325" t="inlineStr">
        <is>
          <t>BETA_DEBT</t>
        </is>
      </c>
      <c r="C325" t="inlineStr">
        <is>
          <t>GOI7.26-36</t>
        </is>
      </c>
      <c r="D325" s="19" t="n">
        <v>577200</v>
      </c>
      <c r="E325" s="21" t="n">
        <v>103.1117</v>
      </c>
      <c r="F325" s="20" t="n">
        <v>59516073.24</v>
      </c>
    </row>
    <row r="326">
      <c r="A326" s="22" t="n">
        <v>46300</v>
      </c>
      <c r="B326" t="inlineStr">
        <is>
          <t>BETA_DEBT</t>
        </is>
      </c>
      <c r="C326" t="inlineStr">
        <is>
          <t>GOI8.2-33</t>
        </is>
      </c>
      <c r="D326" s="19" t="n">
        <v>451200</v>
      </c>
      <c r="E326" s="21" t="n">
        <v>109.1682</v>
      </c>
      <c r="F326" s="20" t="n">
        <v>49256691.84</v>
      </c>
    </row>
    <row r="327">
      <c r="A327" s="22" t="n">
        <v>46300</v>
      </c>
      <c r="B327" t="inlineStr">
        <is>
          <t>BETA_DEBT</t>
        </is>
      </c>
      <c r="C327" t="inlineStr">
        <is>
          <t>SDL-MH-32</t>
        </is>
      </c>
      <c r="D327" s="19" t="n">
        <v>286000</v>
      </c>
      <c r="E327" s="21" t="n">
        <v>104.0976</v>
      </c>
      <c r="F327" s="20" t="n">
        <v>29771913.6</v>
      </c>
    </row>
    <row r="328">
      <c r="A328" s="22" t="n">
        <v>46300</v>
      </c>
      <c r="B328" t="inlineStr">
        <is>
          <t>BETA_DEBT</t>
        </is>
      </c>
      <c r="C328" t="inlineStr">
        <is>
          <t>CP-TATA</t>
        </is>
      </c>
      <c r="D328" s="19" t="n">
        <v>198400</v>
      </c>
      <c r="E328" s="21" t="n">
        <v>100.5236</v>
      </c>
      <c r="F328" s="20" t="n">
        <v>19943882.24</v>
      </c>
    </row>
    <row r="329">
      <c r="A329" s="22" t="n">
        <v>46300</v>
      </c>
      <c r="B329" t="inlineStr">
        <is>
          <t>BETA_DEBT</t>
        </is>
      </c>
      <c r="C329" t="inlineStr">
        <is>
          <t>NCD-REL</t>
        </is>
      </c>
      <c r="D329" s="19" t="n">
        <v>22600</v>
      </c>
      <c r="E329" s="21" t="n">
        <v>979.4888999999999</v>
      </c>
      <c r="F329" s="20" t="n">
        <v>22136449.14</v>
      </c>
    </row>
    <row r="330">
      <c r="A330" s="22" t="n">
        <v>46301</v>
      </c>
      <c r="B330" t="inlineStr">
        <is>
          <t>BETA_DEBT</t>
        </is>
      </c>
      <c r="C330" t="inlineStr">
        <is>
          <t>GOI7.26-36</t>
        </is>
      </c>
      <c r="D330" s="19" t="n">
        <v>577200</v>
      </c>
      <c r="E330" s="21" t="n">
        <v>103.0036</v>
      </c>
      <c r="F330" s="20" t="n">
        <v>59453677.92</v>
      </c>
    </row>
    <row r="331">
      <c r="A331" s="22" t="n">
        <v>46301</v>
      </c>
      <c r="B331" t="inlineStr">
        <is>
          <t>BETA_DEBT</t>
        </is>
      </c>
      <c r="C331" t="inlineStr">
        <is>
          <t>GOI8.2-33</t>
        </is>
      </c>
      <c r="D331" s="19" t="n">
        <v>451200</v>
      </c>
      <c r="E331" s="21" t="n">
        <v>109.0349</v>
      </c>
      <c r="F331" s="20" t="n">
        <v>49196546.88</v>
      </c>
    </row>
    <row r="332">
      <c r="A332" s="22" t="n">
        <v>46301</v>
      </c>
      <c r="B332" t="inlineStr">
        <is>
          <t>BETA_DEBT</t>
        </is>
      </c>
      <c r="C332" t="inlineStr">
        <is>
          <t>SDL-MH-32</t>
        </is>
      </c>
      <c r="D332" s="19" t="n">
        <v>286000</v>
      </c>
      <c r="E332" s="21" t="n">
        <v>104.457</v>
      </c>
      <c r="F332" s="20" t="n">
        <v>29874702</v>
      </c>
    </row>
    <row r="333">
      <c r="A333" s="22" t="n">
        <v>46301</v>
      </c>
      <c r="B333" t="inlineStr">
        <is>
          <t>BETA_DEBT</t>
        </is>
      </c>
      <c r="C333" t="inlineStr">
        <is>
          <t>CP-TATA</t>
        </is>
      </c>
      <c r="D333" s="19" t="n">
        <v>198400</v>
      </c>
      <c r="E333" s="21" t="n">
        <v>100.581</v>
      </c>
      <c r="F333" s="20" t="n">
        <v>19955270.4</v>
      </c>
    </row>
    <row r="334">
      <c r="A334" s="22" t="n">
        <v>46301</v>
      </c>
      <c r="B334" t="inlineStr">
        <is>
          <t>BETA_DEBT</t>
        </is>
      </c>
      <c r="C334" t="inlineStr">
        <is>
          <t>NCD-REL</t>
        </is>
      </c>
      <c r="D334" s="19" t="n">
        <v>21800</v>
      </c>
      <c r="E334" s="21" t="n">
        <v>978.8293</v>
      </c>
      <c r="F334" s="20" t="n">
        <v>21338478.74</v>
      </c>
    </row>
    <row r="335">
      <c r="A335" s="22" t="n">
        <v>46260</v>
      </c>
      <c r="B335" t="inlineStr">
        <is>
          <t>GAMMA_BAL</t>
        </is>
      </c>
      <c r="C335" t="inlineStr">
        <is>
          <t>HDFCBANK</t>
        </is>
      </c>
      <c r="D335" s="19" t="n">
        <v>18200</v>
      </c>
      <c r="E335" s="21" t="n">
        <v>1626.9184</v>
      </c>
      <c r="F335" s="20" t="n">
        <v>29609914.88</v>
      </c>
    </row>
    <row r="336">
      <c r="A336" s="22" t="n">
        <v>46260</v>
      </c>
      <c r="B336" t="inlineStr">
        <is>
          <t>GAMMA_BAL</t>
        </is>
      </c>
      <c r="C336" t="inlineStr">
        <is>
          <t>INFY</t>
        </is>
      </c>
      <c r="D336" s="19" t="n">
        <v>10500</v>
      </c>
      <c r="E336" s="21" t="n">
        <v>1567.7463</v>
      </c>
      <c r="F336" s="20" t="n">
        <v>16461336.15</v>
      </c>
    </row>
    <row r="337">
      <c r="A337" s="22" t="n">
        <v>46260</v>
      </c>
      <c r="B337" t="inlineStr">
        <is>
          <t>GAMMA_BAL</t>
        </is>
      </c>
      <c r="C337" t="inlineStr">
        <is>
          <t>LT</t>
        </is>
      </c>
      <c r="D337" s="19" t="n">
        <v>6200</v>
      </c>
      <c r="E337" s="21" t="n">
        <v>2439.7003</v>
      </c>
      <c r="F337" s="20" t="n">
        <v>15126141.86</v>
      </c>
    </row>
    <row r="338">
      <c r="A338" s="22" t="n">
        <v>46260</v>
      </c>
      <c r="B338" t="inlineStr">
        <is>
          <t>GAMMA_BAL</t>
        </is>
      </c>
      <c r="C338" t="inlineStr">
        <is>
          <t>MARUTI</t>
        </is>
      </c>
      <c r="D338" s="19" t="n">
        <v>8300</v>
      </c>
      <c r="E338" s="21" t="n">
        <v>1828.7433</v>
      </c>
      <c r="F338" s="20" t="n">
        <v>15178569.39</v>
      </c>
    </row>
    <row r="339">
      <c r="A339" s="22" t="n">
        <v>46260</v>
      </c>
      <c r="B339" t="inlineStr">
        <is>
          <t>GAMMA_BAL</t>
        </is>
      </c>
      <c r="C339" t="inlineStr">
        <is>
          <t>GOI7.26-36</t>
        </is>
      </c>
      <c r="D339" s="19" t="n">
        <v>367600</v>
      </c>
      <c r="E339" s="21" t="n">
        <v>102.1623</v>
      </c>
      <c r="F339" s="20" t="n">
        <v>37554861.48</v>
      </c>
    </row>
    <row r="340">
      <c r="A340" s="22" t="n">
        <v>46260</v>
      </c>
      <c r="B340" t="inlineStr">
        <is>
          <t>GAMMA_BAL</t>
        </is>
      </c>
      <c r="C340" t="inlineStr">
        <is>
          <t>SDL-MH-32</t>
        </is>
      </c>
      <c r="D340" s="19" t="n">
        <v>218500</v>
      </c>
      <c r="E340" s="21" t="n">
        <v>101.4579</v>
      </c>
      <c r="F340" s="20" t="n">
        <v>22168551.15</v>
      </c>
    </row>
    <row r="341">
      <c r="A341" s="22" t="n">
        <v>46261</v>
      </c>
      <c r="B341" t="inlineStr">
        <is>
          <t>GAMMA_BAL</t>
        </is>
      </c>
      <c r="C341" t="inlineStr">
        <is>
          <t>HDFCBANK</t>
        </is>
      </c>
      <c r="D341" s="19" t="n">
        <v>17700</v>
      </c>
      <c r="E341" s="21" t="n">
        <v>1635.4289</v>
      </c>
      <c r="F341" s="20" t="n">
        <v>28947091.53</v>
      </c>
    </row>
    <row r="342">
      <c r="A342" s="22" t="n">
        <v>46261</v>
      </c>
      <c r="B342" t="inlineStr">
        <is>
          <t>GAMMA_BAL</t>
        </is>
      </c>
      <c r="C342" t="inlineStr">
        <is>
          <t>INFY</t>
        </is>
      </c>
      <c r="D342" s="19" t="n">
        <v>10500</v>
      </c>
      <c r="E342" s="21" t="n">
        <v>1579.119</v>
      </c>
      <c r="F342" s="20" t="n">
        <v>16580749.5</v>
      </c>
    </row>
    <row r="343">
      <c r="A343" s="22" t="n">
        <v>46261</v>
      </c>
      <c r="B343" t="inlineStr">
        <is>
          <t>GAMMA_BAL</t>
        </is>
      </c>
      <c r="C343" t="inlineStr">
        <is>
          <t>LT</t>
        </is>
      </c>
      <c r="D343" s="19" t="n">
        <v>6200</v>
      </c>
      <c r="E343" s="21" t="n">
        <v>2415.3975</v>
      </c>
      <c r="F343" s="20" t="n">
        <v>14975464.5</v>
      </c>
    </row>
    <row r="344">
      <c r="A344" s="22" t="n">
        <v>46261</v>
      </c>
      <c r="B344" t="inlineStr">
        <is>
          <t>GAMMA_BAL</t>
        </is>
      </c>
      <c r="C344" t="inlineStr">
        <is>
          <t>MARUTI</t>
        </is>
      </c>
      <c r="D344" s="19" t="n">
        <v>8300</v>
      </c>
      <c r="E344" s="21" t="n">
        <v>1826.8584</v>
      </c>
      <c r="F344" s="20" t="n">
        <v>15162924.72</v>
      </c>
    </row>
    <row r="345">
      <c r="A345" s="22" t="n">
        <v>46261</v>
      </c>
      <c r="B345" t="inlineStr">
        <is>
          <t>GAMMA_BAL</t>
        </is>
      </c>
      <c r="C345" t="inlineStr">
        <is>
          <t>GOI7.26-36</t>
        </is>
      </c>
      <c r="D345" s="19" t="n">
        <v>367600</v>
      </c>
      <c r="E345" s="21" t="n">
        <v>102.8149</v>
      </c>
      <c r="F345" s="20" t="n">
        <v>37794757.24</v>
      </c>
    </row>
    <row r="346">
      <c r="A346" s="22" t="n">
        <v>46261</v>
      </c>
      <c r="B346" t="inlineStr">
        <is>
          <t>GAMMA_BAL</t>
        </is>
      </c>
      <c r="C346" t="inlineStr">
        <is>
          <t>SDL-MH-32</t>
        </is>
      </c>
      <c r="D346" s="19" t="n">
        <v>218500</v>
      </c>
      <c r="E346" s="21" t="n">
        <v>101.3304</v>
      </c>
      <c r="F346" s="20" t="n">
        <v>22140692.4</v>
      </c>
    </row>
    <row r="347">
      <c r="A347" s="22" t="n">
        <v>46262</v>
      </c>
      <c r="B347" t="inlineStr">
        <is>
          <t>GAMMA_BAL</t>
        </is>
      </c>
      <c r="C347" t="inlineStr">
        <is>
          <t>HDFCBANK</t>
        </is>
      </c>
      <c r="D347" s="19" t="n">
        <v>17300</v>
      </c>
      <c r="E347" s="21" t="n">
        <v>1656.1007</v>
      </c>
      <c r="F347" s="20" t="n">
        <v>28650542.11</v>
      </c>
    </row>
    <row r="348">
      <c r="A348" s="22" t="n">
        <v>46262</v>
      </c>
      <c r="B348" t="inlineStr">
        <is>
          <t>GAMMA_BAL</t>
        </is>
      </c>
      <c r="C348" t="inlineStr">
        <is>
          <t>INFY</t>
        </is>
      </c>
      <c r="D348" s="19" t="n">
        <v>10500</v>
      </c>
      <c r="E348" s="21" t="n">
        <v>1616.5228</v>
      </c>
      <c r="F348" s="20" t="n">
        <v>16973489.4</v>
      </c>
    </row>
    <row r="349">
      <c r="A349" s="22" t="n">
        <v>46262</v>
      </c>
      <c r="B349" t="inlineStr">
        <is>
          <t>GAMMA_BAL</t>
        </is>
      </c>
      <c r="C349" t="inlineStr">
        <is>
          <t>LT</t>
        </is>
      </c>
      <c r="D349" s="19" t="n">
        <v>6200</v>
      </c>
      <c r="E349" s="21" t="n">
        <v>2355.236</v>
      </c>
      <c r="F349" s="20" t="n">
        <v>14602463.2</v>
      </c>
    </row>
    <row r="350">
      <c r="A350" s="22" t="n">
        <v>46262</v>
      </c>
      <c r="B350" t="inlineStr">
        <is>
          <t>GAMMA_BAL</t>
        </is>
      </c>
      <c r="C350" t="inlineStr">
        <is>
          <t>MARUTI</t>
        </is>
      </c>
      <c r="D350" s="19" t="n">
        <v>7100</v>
      </c>
      <c r="E350" s="21" t="n">
        <v>1833.9075</v>
      </c>
      <c r="F350" s="20" t="n">
        <v>13020743.25</v>
      </c>
    </row>
    <row r="351">
      <c r="A351" s="22" t="n">
        <v>46262</v>
      </c>
      <c r="B351" t="inlineStr">
        <is>
          <t>GAMMA_BAL</t>
        </is>
      </c>
      <c r="C351" t="inlineStr">
        <is>
          <t>GOI7.26-36</t>
        </is>
      </c>
      <c r="D351" s="19" t="n">
        <v>367600</v>
      </c>
      <c r="E351" s="21" t="n">
        <v>103.6698</v>
      </c>
      <c r="F351" s="20" t="n">
        <v>38109018.48</v>
      </c>
    </row>
    <row r="352">
      <c r="A352" s="22" t="n">
        <v>46262</v>
      </c>
      <c r="B352" t="inlineStr">
        <is>
          <t>GAMMA_BAL</t>
        </is>
      </c>
      <c r="C352" t="inlineStr">
        <is>
          <t>SDL-MH-32</t>
        </is>
      </c>
      <c r="D352" s="19" t="n">
        <v>218500</v>
      </c>
      <c r="E352" s="21" t="n">
        <v>100.936</v>
      </c>
      <c r="F352" s="20" t="n">
        <v>22054516</v>
      </c>
    </row>
    <row r="353">
      <c r="A353" s="22" t="n">
        <v>46265</v>
      </c>
      <c r="B353" t="inlineStr">
        <is>
          <t>GAMMA_BAL</t>
        </is>
      </c>
      <c r="C353" t="inlineStr">
        <is>
          <t>HDFCBANK</t>
        </is>
      </c>
      <c r="D353" s="19" t="n">
        <v>16500</v>
      </c>
      <c r="E353" s="21" t="n">
        <v>1647.0608</v>
      </c>
      <c r="F353" s="20" t="n">
        <v>27176503.2</v>
      </c>
    </row>
    <row r="354">
      <c r="A354" s="22" t="n">
        <v>46265</v>
      </c>
      <c r="B354" t="inlineStr">
        <is>
          <t>GAMMA_BAL</t>
        </is>
      </c>
      <c r="C354" t="inlineStr">
        <is>
          <t>INFY</t>
        </is>
      </c>
      <c r="D354" s="19" t="n">
        <v>10500</v>
      </c>
      <c r="E354" s="21" t="n">
        <v>1609.1218</v>
      </c>
      <c r="F354" s="20" t="n">
        <v>16895778.9</v>
      </c>
    </row>
    <row r="355">
      <c r="A355" s="22" t="n">
        <v>46265</v>
      </c>
      <c r="B355" t="inlineStr">
        <is>
          <t>GAMMA_BAL</t>
        </is>
      </c>
      <c r="C355" t="inlineStr">
        <is>
          <t>LT</t>
        </is>
      </c>
      <c r="D355" s="19" t="n">
        <v>6200</v>
      </c>
      <c r="E355" s="21" t="n">
        <v>2379.9206</v>
      </c>
      <c r="F355" s="20" t="n">
        <v>14755507.72</v>
      </c>
    </row>
    <row r="356">
      <c r="A356" s="22" t="n">
        <v>46265</v>
      </c>
      <c r="B356" t="inlineStr">
        <is>
          <t>GAMMA_BAL</t>
        </is>
      </c>
      <c r="C356" t="inlineStr">
        <is>
          <t>MARUTI</t>
        </is>
      </c>
      <c r="D356" s="19" t="n">
        <v>7100</v>
      </c>
      <c r="E356" s="21" t="n">
        <v>1838.128</v>
      </c>
      <c r="F356" s="20" t="n">
        <v>13050708.8</v>
      </c>
    </row>
    <row r="357">
      <c r="A357" s="22" t="n">
        <v>46265</v>
      </c>
      <c r="B357" t="inlineStr">
        <is>
          <t>GAMMA_BAL</t>
        </is>
      </c>
      <c r="C357" t="inlineStr">
        <is>
          <t>GOI7.26-36</t>
        </is>
      </c>
      <c r="D357" s="19" t="n">
        <v>367600</v>
      </c>
      <c r="E357" s="21" t="n">
        <v>103.5776</v>
      </c>
      <c r="F357" s="20" t="n">
        <v>38075125.76</v>
      </c>
    </row>
    <row r="358">
      <c r="A358" s="22" t="n">
        <v>46265</v>
      </c>
      <c r="B358" t="inlineStr">
        <is>
          <t>GAMMA_BAL</t>
        </is>
      </c>
      <c r="C358" t="inlineStr">
        <is>
          <t>SDL-MH-32</t>
        </is>
      </c>
      <c r="D358" s="19" t="n">
        <v>218500</v>
      </c>
      <c r="E358" s="21" t="n">
        <v>100.8476</v>
      </c>
      <c r="F358" s="20" t="n">
        <v>22035200.6</v>
      </c>
    </row>
    <row r="359">
      <c r="A359" s="22" t="n">
        <v>46266</v>
      </c>
      <c r="B359" t="inlineStr">
        <is>
          <t>GAMMA_BAL</t>
        </is>
      </c>
      <c r="C359" t="inlineStr">
        <is>
          <t>HDFCBANK</t>
        </is>
      </c>
      <c r="D359" s="19" t="n">
        <v>16500</v>
      </c>
      <c r="E359" s="21" t="n">
        <v>1621.9468</v>
      </c>
      <c r="F359" s="20" t="n">
        <v>26762122.2</v>
      </c>
    </row>
    <row r="360">
      <c r="A360" s="22" t="n">
        <v>46266</v>
      </c>
      <c r="B360" t="inlineStr">
        <is>
          <t>GAMMA_BAL</t>
        </is>
      </c>
      <c r="C360" t="inlineStr">
        <is>
          <t>INFY</t>
        </is>
      </c>
      <c r="D360" s="19" t="n">
        <v>10100</v>
      </c>
      <c r="E360" s="21" t="n">
        <v>1622.7456</v>
      </c>
      <c r="F360" s="20" t="n">
        <v>16389730.56</v>
      </c>
    </row>
    <row r="361">
      <c r="A361" s="22" t="n">
        <v>46266</v>
      </c>
      <c r="B361" t="inlineStr">
        <is>
          <t>GAMMA_BAL</t>
        </is>
      </c>
      <c r="C361" t="inlineStr">
        <is>
          <t>LT</t>
        </is>
      </c>
      <c r="D361" s="19" t="n">
        <v>4600</v>
      </c>
      <c r="E361" s="21" t="n">
        <v>2360.2867</v>
      </c>
      <c r="F361" s="20" t="n">
        <v>10857318.82</v>
      </c>
    </row>
    <row r="362">
      <c r="A362" s="22" t="n">
        <v>46266</v>
      </c>
      <c r="B362" t="inlineStr">
        <is>
          <t>GAMMA_BAL</t>
        </is>
      </c>
      <c r="C362" t="inlineStr">
        <is>
          <t>MARUTI</t>
        </is>
      </c>
      <c r="D362" s="19" t="n">
        <v>7100</v>
      </c>
      <c r="E362" s="21" t="n">
        <v>1844.6392</v>
      </c>
      <c r="F362" s="20" t="n">
        <v>13096938.32</v>
      </c>
    </row>
    <row r="363">
      <c r="A363" s="22" t="n">
        <v>46266</v>
      </c>
      <c r="B363" t="inlineStr">
        <is>
          <t>GAMMA_BAL</t>
        </is>
      </c>
      <c r="C363" t="inlineStr">
        <is>
          <t>GOI7.26-36</t>
        </is>
      </c>
      <c r="D363" s="19" t="n">
        <v>367600</v>
      </c>
      <c r="E363" s="21" t="n">
        <v>103.0551</v>
      </c>
      <c r="F363" s="20" t="n">
        <v>37883054.76</v>
      </c>
    </row>
    <row r="364">
      <c r="A364" s="22" t="n">
        <v>46266</v>
      </c>
      <c r="B364" t="inlineStr">
        <is>
          <t>GAMMA_BAL</t>
        </is>
      </c>
      <c r="C364" t="inlineStr">
        <is>
          <t>SDL-MH-32</t>
        </is>
      </c>
      <c r="D364" s="19" t="n">
        <v>218500</v>
      </c>
      <c r="E364" s="21" t="n">
        <v>101.7407</v>
      </c>
      <c r="F364" s="20" t="n">
        <v>22230342.95</v>
      </c>
    </row>
    <row r="365">
      <c r="A365" s="22" t="n">
        <v>46267</v>
      </c>
      <c r="B365" t="inlineStr">
        <is>
          <t>GAMMA_BAL</t>
        </is>
      </c>
      <c r="C365" t="inlineStr">
        <is>
          <t>HDFCBANK</t>
        </is>
      </c>
      <c r="D365" s="19" t="n">
        <v>16500</v>
      </c>
      <c r="E365" s="21" t="n">
        <v>1621.8068</v>
      </c>
      <c r="F365" s="20" t="n">
        <v>26759812.2</v>
      </c>
    </row>
    <row r="366">
      <c r="A366" s="22" t="n">
        <v>46267</v>
      </c>
      <c r="B366" t="inlineStr">
        <is>
          <t>GAMMA_BAL</t>
        </is>
      </c>
      <c r="C366" t="inlineStr">
        <is>
          <t>INFY</t>
        </is>
      </c>
      <c r="D366" s="19" t="n">
        <v>10300</v>
      </c>
      <c r="E366" s="21" t="n">
        <v>1635.421</v>
      </c>
      <c r="F366" s="20" t="n">
        <v>16844836.3</v>
      </c>
    </row>
    <row r="367">
      <c r="A367" s="22" t="n">
        <v>46267</v>
      </c>
      <c r="B367" t="inlineStr">
        <is>
          <t>GAMMA_BAL</t>
        </is>
      </c>
      <c r="C367" t="inlineStr">
        <is>
          <t>LT</t>
        </is>
      </c>
      <c r="D367" s="19" t="n">
        <v>4600</v>
      </c>
      <c r="E367" s="21" t="n">
        <v>2402.1646</v>
      </c>
      <c r="F367" s="20" t="n">
        <v>11049957.16</v>
      </c>
    </row>
    <row r="368">
      <c r="A368" s="22" t="n">
        <v>46267</v>
      </c>
      <c r="B368" t="inlineStr">
        <is>
          <t>GAMMA_BAL</t>
        </is>
      </c>
      <c r="C368" t="inlineStr">
        <is>
          <t>MARUTI</t>
        </is>
      </c>
      <c r="D368" s="19" t="n">
        <v>7900</v>
      </c>
      <c r="E368" s="21" t="n">
        <v>1840.5424</v>
      </c>
      <c r="F368" s="20" t="n">
        <v>14540284.96</v>
      </c>
    </row>
    <row r="369">
      <c r="A369" s="22" t="n">
        <v>46267</v>
      </c>
      <c r="B369" t="inlineStr">
        <is>
          <t>GAMMA_BAL</t>
        </is>
      </c>
      <c r="C369" t="inlineStr">
        <is>
          <t>GOI7.26-36</t>
        </is>
      </c>
      <c r="D369" s="19" t="n">
        <v>367600</v>
      </c>
      <c r="E369" s="21" t="n">
        <v>102.9417</v>
      </c>
      <c r="F369" s="20" t="n">
        <v>37841368.92</v>
      </c>
    </row>
    <row r="370">
      <c r="A370" s="22" t="n">
        <v>46267</v>
      </c>
      <c r="B370" t="inlineStr">
        <is>
          <t>GAMMA_BAL</t>
        </is>
      </c>
      <c r="C370" t="inlineStr">
        <is>
          <t>SDL-MH-32</t>
        </is>
      </c>
      <c r="D370" s="19" t="n">
        <v>218500</v>
      </c>
      <c r="E370" s="21" t="n">
        <v>101.506</v>
      </c>
      <c r="F370" s="20" t="n">
        <v>22179061</v>
      </c>
    </row>
    <row r="371">
      <c r="A371" s="22" t="n">
        <v>46268</v>
      </c>
      <c r="B371" t="inlineStr">
        <is>
          <t>GAMMA_BAL</t>
        </is>
      </c>
      <c r="C371" t="inlineStr">
        <is>
          <t>HDFCBANK</t>
        </is>
      </c>
      <c r="D371" s="19" t="n">
        <v>16500</v>
      </c>
      <c r="E371" s="21" t="n">
        <v>1632.245</v>
      </c>
      <c r="F371" s="20" t="n">
        <v>26932042.5</v>
      </c>
    </row>
    <row r="372">
      <c r="A372" s="22" t="n">
        <v>46268</v>
      </c>
      <c r="B372" t="inlineStr">
        <is>
          <t>GAMMA_BAL</t>
        </is>
      </c>
      <c r="C372" t="inlineStr">
        <is>
          <t>INFY</t>
        </is>
      </c>
      <c r="D372" s="19" t="n">
        <v>10300</v>
      </c>
      <c r="E372" s="21" t="n">
        <v>1643.0447</v>
      </c>
      <c r="F372" s="20" t="n">
        <v>16923360.41</v>
      </c>
    </row>
    <row r="373">
      <c r="A373" s="22" t="n">
        <v>46268</v>
      </c>
      <c r="B373" t="inlineStr">
        <is>
          <t>GAMMA_BAL</t>
        </is>
      </c>
      <c r="C373" t="inlineStr">
        <is>
          <t>LT</t>
        </is>
      </c>
      <c r="D373" s="19" t="n">
        <v>3400</v>
      </c>
      <c r="E373" s="21" t="n">
        <v>2414.3879</v>
      </c>
      <c r="F373" s="20" t="n">
        <v>8208918.86</v>
      </c>
    </row>
    <row r="374">
      <c r="A374" s="22" t="n">
        <v>46268</v>
      </c>
      <c r="B374" t="inlineStr">
        <is>
          <t>GAMMA_BAL</t>
        </is>
      </c>
      <c r="C374" t="inlineStr">
        <is>
          <t>MARUTI</t>
        </is>
      </c>
      <c r="D374" s="19" t="n">
        <v>7600</v>
      </c>
      <c r="E374" s="21" t="n">
        <v>1833.2197</v>
      </c>
      <c r="F374" s="20" t="n">
        <v>13932469.72</v>
      </c>
    </row>
    <row r="375">
      <c r="A375" s="22" t="n">
        <v>46268</v>
      </c>
      <c r="B375" t="inlineStr">
        <is>
          <t>GAMMA_BAL</t>
        </is>
      </c>
      <c r="C375" t="inlineStr">
        <is>
          <t>GOI7.26-36</t>
        </is>
      </c>
      <c r="D375" s="19" t="n">
        <v>367600</v>
      </c>
      <c r="E375" s="21" t="n">
        <v>102.6639</v>
      </c>
      <c r="F375" s="20" t="n">
        <v>37739249.64</v>
      </c>
    </row>
    <row r="376">
      <c r="A376" s="22" t="n">
        <v>46268</v>
      </c>
      <c r="B376" t="inlineStr">
        <is>
          <t>GAMMA_BAL</t>
        </is>
      </c>
      <c r="C376" t="inlineStr">
        <is>
          <t>SDL-MH-32</t>
        </is>
      </c>
      <c r="D376" s="19" t="n">
        <v>218500</v>
      </c>
      <c r="E376" s="21" t="n">
        <v>101.4628</v>
      </c>
      <c r="F376" s="20" t="n">
        <v>22169621.8</v>
      </c>
    </row>
    <row r="377">
      <c r="A377" s="22" t="n">
        <v>46269</v>
      </c>
      <c r="B377" t="inlineStr">
        <is>
          <t>GAMMA_BAL</t>
        </is>
      </c>
      <c r="C377" t="inlineStr">
        <is>
          <t>HDFCBANK</t>
        </is>
      </c>
      <c r="D377" s="19" t="n">
        <v>18000</v>
      </c>
      <c r="E377" s="21" t="n">
        <v>1654.8976</v>
      </c>
      <c r="F377" s="20" t="n">
        <v>29788156.8</v>
      </c>
    </row>
    <row r="378">
      <c r="A378" s="22" t="n">
        <v>46269</v>
      </c>
      <c r="B378" t="inlineStr">
        <is>
          <t>GAMMA_BAL</t>
        </is>
      </c>
      <c r="C378" t="inlineStr">
        <is>
          <t>INFY</t>
        </is>
      </c>
      <c r="D378" s="19" t="n">
        <v>10300</v>
      </c>
      <c r="E378" s="21" t="n">
        <v>1648.9897</v>
      </c>
      <c r="F378" s="20" t="n">
        <v>16984593.91</v>
      </c>
    </row>
    <row r="379">
      <c r="A379" s="22" t="n">
        <v>46269</v>
      </c>
      <c r="B379" t="inlineStr">
        <is>
          <t>GAMMA_BAL</t>
        </is>
      </c>
      <c r="C379" t="inlineStr">
        <is>
          <t>LT</t>
        </is>
      </c>
      <c r="D379" s="19" t="n">
        <v>3400</v>
      </c>
      <c r="E379" s="21" t="n">
        <v>2447.675</v>
      </c>
      <c r="F379" s="20" t="n">
        <v>8322095</v>
      </c>
    </row>
    <row r="380">
      <c r="A380" s="22" t="n">
        <v>46269</v>
      </c>
      <c r="B380" t="inlineStr">
        <is>
          <t>GAMMA_BAL</t>
        </is>
      </c>
      <c r="C380" t="inlineStr">
        <is>
          <t>MARUTI</t>
        </is>
      </c>
      <c r="D380" s="19" t="n">
        <v>7600</v>
      </c>
      <c r="E380" s="21" t="n">
        <v>1802.253</v>
      </c>
      <c r="F380" s="20" t="n">
        <v>13697122.8</v>
      </c>
    </row>
    <row r="381">
      <c r="A381" s="22" t="n">
        <v>46269</v>
      </c>
      <c r="B381" t="inlineStr">
        <is>
          <t>GAMMA_BAL</t>
        </is>
      </c>
      <c r="C381" t="inlineStr">
        <is>
          <t>GOI7.26-36</t>
        </is>
      </c>
      <c r="D381" s="19" t="n">
        <v>364600</v>
      </c>
      <c r="E381" s="21" t="n">
        <v>103.2871</v>
      </c>
      <c r="F381" s="20" t="n">
        <v>37658476.66</v>
      </c>
    </row>
    <row r="382">
      <c r="A382" s="22" t="n">
        <v>46269</v>
      </c>
      <c r="B382" t="inlineStr">
        <is>
          <t>GAMMA_BAL</t>
        </is>
      </c>
      <c r="C382" t="inlineStr">
        <is>
          <t>SDL-MH-32</t>
        </is>
      </c>
      <c r="D382" s="19" t="n">
        <v>218500</v>
      </c>
      <c r="E382" s="21" t="n">
        <v>101.9311</v>
      </c>
      <c r="F382" s="20" t="n">
        <v>22271945.35</v>
      </c>
    </row>
    <row r="383">
      <c r="A383" s="22" t="n">
        <v>46272</v>
      </c>
      <c r="B383" t="inlineStr">
        <is>
          <t>GAMMA_BAL</t>
        </is>
      </c>
      <c r="C383" t="inlineStr">
        <is>
          <t>HDFCBANK</t>
        </is>
      </c>
      <c r="D383" s="19" t="n">
        <v>19500</v>
      </c>
      <c r="E383" s="21" t="n">
        <v>1631.9103</v>
      </c>
      <c r="F383" s="20" t="n">
        <v>31822250.85</v>
      </c>
    </row>
    <row r="384">
      <c r="A384" s="22" t="n">
        <v>46272</v>
      </c>
      <c r="B384" t="inlineStr">
        <is>
          <t>GAMMA_BAL</t>
        </is>
      </c>
      <c r="C384" t="inlineStr">
        <is>
          <t>INFY</t>
        </is>
      </c>
      <c r="D384" s="19" t="n">
        <v>10300</v>
      </c>
      <c r="E384" s="21" t="n">
        <v>1654.3485</v>
      </c>
      <c r="F384" s="20" t="n">
        <v>17039789.55</v>
      </c>
    </row>
    <row r="385">
      <c r="A385" s="22" t="n">
        <v>46272</v>
      </c>
      <c r="B385" t="inlineStr">
        <is>
          <t>GAMMA_BAL</t>
        </is>
      </c>
      <c r="C385" t="inlineStr">
        <is>
          <t>LT</t>
        </is>
      </c>
      <c r="D385" s="19" t="n">
        <v>4200</v>
      </c>
      <c r="E385" s="21" t="n">
        <v>2473.6885</v>
      </c>
      <c r="F385" s="20" t="n">
        <v>10389491.7</v>
      </c>
    </row>
    <row r="386">
      <c r="A386" s="22" t="n">
        <v>46272</v>
      </c>
      <c r="B386" t="inlineStr">
        <is>
          <t>GAMMA_BAL</t>
        </is>
      </c>
      <c r="C386" t="inlineStr">
        <is>
          <t>MARUTI</t>
        </is>
      </c>
      <c r="D386" s="19" t="n">
        <v>7700</v>
      </c>
      <c r="E386" s="21" t="n">
        <v>1787.3201</v>
      </c>
      <c r="F386" s="20" t="n">
        <v>13762364.77</v>
      </c>
    </row>
    <row r="387">
      <c r="A387" s="22" t="n">
        <v>46272</v>
      </c>
      <c r="B387" t="inlineStr">
        <is>
          <t>GAMMA_BAL</t>
        </is>
      </c>
      <c r="C387" t="inlineStr">
        <is>
          <t>GOI7.26-36</t>
        </is>
      </c>
      <c r="D387" s="19" t="n">
        <v>364600</v>
      </c>
      <c r="E387" s="21" t="n">
        <v>103.4764</v>
      </c>
      <c r="F387" s="20" t="n">
        <v>37727495.44</v>
      </c>
    </row>
    <row r="388">
      <c r="A388" s="22" t="n">
        <v>46272</v>
      </c>
      <c r="B388" t="inlineStr">
        <is>
          <t>GAMMA_BAL</t>
        </is>
      </c>
      <c r="C388" t="inlineStr">
        <is>
          <t>SDL-MH-32</t>
        </is>
      </c>
      <c r="D388" s="19" t="n">
        <v>218500</v>
      </c>
      <c r="E388" s="21" t="n">
        <v>102.2469</v>
      </c>
      <c r="F388" s="20" t="n">
        <v>22340947.65</v>
      </c>
    </row>
    <row r="389">
      <c r="A389" s="22" t="n">
        <v>46273</v>
      </c>
      <c r="B389" t="inlineStr">
        <is>
          <t>GAMMA_BAL</t>
        </is>
      </c>
      <c r="C389" t="inlineStr">
        <is>
          <t>HDFCBANK</t>
        </is>
      </c>
      <c r="D389" s="19" t="n">
        <v>19500</v>
      </c>
      <c r="E389" s="21" t="n">
        <v>1607.7345</v>
      </c>
      <c r="F389" s="20" t="n">
        <v>31350822.75</v>
      </c>
    </row>
    <row r="390">
      <c r="A390" s="22" t="n">
        <v>46273</v>
      </c>
      <c r="B390" t="inlineStr">
        <is>
          <t>GAMMA_BAL</t>
        </is>
      </c>
      <c r="C390" t="inlineStr">
        <is>
          <t>INFY</t>
        </is>
      </c>
      <c r="D390" s="19" t="n">
        <v>11300</v>
      </c>
      <c r="E390" s="21" t="n">
        <v>1641.6471</v>
      </c>
      <c r="F390" s="20" t="n">
        <v>18550612.23</v>
      </c>
    </row>
    <row r="391">
      <c r="A391" s="22" t="n">
        <v>46273</v>
      </c>
      <c r="B391" t="inlineStr">
        <is>
          <t>GAMMA_BAL</t>
        </is>
      </c>
      <c r="C391" t="inlineStr">
        <is>
          <t>LT</t>
        </is>
      </c>
      <c r="D391" s="19" t="n">
        <v>4200</v>
      </c>
      <c r="E391" s="21" t="n">
        <v>2408.5133</v>
      </c>
      <c r="F391" s="20" t="n">
        <v>10115755.86</v>
      </c>
    </row>
    <row r="392">
      <c r="A392" s="22" t="n">
        <v>46273</v>
      </c>
      <c r="B392" t="inlineStr">
        <is>
          <t>GAMMA_BAL</t>
        </is>
      </c>
      <c r="C392" t="inlineStr">
        <is>
          <t>MARUTI</t>
        </is>
      </c>
      <c r="D392" s="19" t="n">
        <v>7700</v>
      </c>
      <c r="E392" s="21" t="n">
        <v>1829.8682</v>
      </c>
      <c r="F392" s="20" t="n">
        <v>14089985.14</v>
      </c>
    </row>
    <row r="393">
      <c r="A393" s="22" t="n">
        <v>46273</v>
      </c>
      <c r="B393" t="inlineStr">
        <is>
          <t>GAMMA_BAL</t>
        </is>
      </c>
      <c r="C393" t="inlineStr">
        <is>
          <t>GOI7.26-36</t>
        </is>
      </c>
      <c r="D393" s="19" t="n">
        <v>362600</v>
      </c>
      <c r="E393" s="21" t="n">
        <v>103.2626</v>
      </c>
      <c r="F393" s="20" t="n">
        <v>37443018.76</v>
      </c>
    </row>
    <row r="394">
      <c r="A394" s="22" t="n">
        <v>46273</v>
      </c>
      <c r="B394" t="inlineStr">
        <is>
          <t>GAMMA_BAL</t>
        </is>
      </c>
      <c r="C394" t="inlineStr">
        <is>
          <t>SDL-MH-32</t>
        </is>
      </c>
      <c r="D394" s="19" t="n">
        <v>218500</v>
      </c>
      <c r="E394" s="21" t="n">
        <v>102.5714</v>
      </c>
      <c r="F394" s="20" t="n">
        <v>22411850.9</v>
      </c>
    </row>
    <row r="395">
      <c r="A395" s="22" t="n">
        <v>46274</v>
      </c>
      <c r="B395" t="inlineStr">
        <is>
          <t>GAMMA_BAL</t>
        </is>
      </c>
      <c r="C395" t="inlineStr">
        <is>
          <t>HDFCBANK</t>
        </is>
      </c>
      <c r="D395" s="19" t="n">
        <v>19500</v>
      </c>
      <c r="E395" s="21" t="n">
        <v>1622.4793</v>
      </c>
      <c r="F395" s="20" t="n">
        <v>31638346.35</v>
      </c>
    </row>
    <row r="396">
      <c r="A396" s="22" t="n">
        <v>46274</v>
      </c>
      <c r="B396" t="inlineStr">
        <is>
          <t>GAMMA_BAL</t>
        </is>
      </c>
      <c r="C396" t="inlineStr">
        <is>
          <t>INFY</t>
        </is>
      </c>
      <c r="D396" s="19" t="n">
        <v>12100</v>
      </c>
      <c r="E396" s="21" t="n">
        <v>1619.4807</v>
      </c>
      <c r="F396" s="20" t="n">
        <v>19595716.47</v>
      </c>
    </row>
    <row r="397">
      <c r="A397" s="22" t="n">
        <v>46274</v>
      </c>
      <c r="B397" t="inlineStr">
        <is>
          <t>GAMMA_BAL</t>
        </is>
      </c>
      <c r="C397" t="inlineStr">
        <is>
          <t>LT</t>
        </is>
      </c>
      <c r="D397" s="19" t="n">
        <v>4200</v>
      </c>
      <c r="E397" s="21" t="n">
        <v>2432.7188</v>
      </c>
      <c r="F397" s="20" t="n">
        <v>10217418.96</v>
      </c>
    </row>
    <row r="398">
      <c r="A398" s="22" t="n">
        <v>46274</v>
      </c>
      <c r="B398" t="inlineStr">
        <is>
          <t>GAMMA_BAL</t>
        </is>
      </c>
      <c r="C398" t="inlineStr">
        <is>
          <t>MARUTI</t>
        </is>
      </c>
      <c r="D398" s="19" t="n">
        <v>7700</v>
      </c>
      <c r="E398" s="21" t="n">
        <v>1844.8948</v>
      </c>
      <c r="F398" s="20" t="n">
        <v>14205689.96</v>
      </c>
    </row>
    <row r="399">
      <c r="A399" s="22" t="n">
        <v>46274</v>
      </c>
      <c r="B399" t="inlineStr">
        <is>
          <t>GAMMA_BAL</t>
        </is>
      </c>
      <c r="C399" t="inlineStr">
        <is>
          <t>GOI7.26-36</t>
        </is>
      </c>
      <c r="D399" s="19" t="n">
        <v>362600</v>
      </c>
      <c r="E399" s="21" t="n">
        <v>103.5649</v>
      </c>
      <c r="F399" s="20" t="n">
        <v>37552632.74</v>
      </c>
    </row>
    <row r="400">
      <c r="A400" s="22" t="n">
        <v>46274</v>
      </c>
      <c r="B400" t="inlineStr">
        <is>
          <t>GAMMA_BAL</t>
        </is>
      </c>
      <c r="C400" t="inlineStr">
        <is>
          <t>SDL-MH-32</t>
        </is>
      </c>
      <c r="D400" s="19" t="n">
        <v>218500</v>
      </c>
      <c r="E400" s="21" t="n">
        <v>102.9374</v>
      </c>
      <c r="F400" s="20" t="n">
        <v>22491821.9</v>
      </c>
    </row>
    <row r="401">
      <c r="A401" s="22" t="n">
        <v>46275</v>
      </c>
      <c r="B401" t="inlineStr">
        <is>
          <t>GAMMA_BAL</t>
        </is>
      </c>
      <c r="C401" t="inlineStr">
        <is>
          <t>HDFCBANK</t>
        </is>
      </c>
      <c r="D401" s="19" t="n">
        <v>19500</v>
      </c>
      <c r="E401" s="21" t="n">
        <v>1632.8454</v>
      </c>
      <c r="F401" s="20" t="n">
        <v>31840485.3</v>
      </c>
    </row>
    <row r="402">
      <c r="A402" s="22" t="n">
        <v>46275</v>
      </c>
      <c r="B402" t="inlineStr">
        <is>
          <t>GAMMA_BAL</t>
        </is>
      </c>
      <c r="C402" t="inlineStr">
        <is>
          <t>INFY</t>
        </is>
      </c>
      <c r="D402" s="19" t="n">
        <v>12100</v>
      </c>
      <c r="E402" s="21" t="n">
        <v>1611.6253</v>
      </c>
      <c r="F402" s="20" t="n">
        <v>19500666.13</v>
      </c>
    </row>
    <row r="403">
      <c r="A403" s="22" t="n">
        <v>46275</v>
      </c>
      <c r="B403" t="inlineStr">
        <is>
          <t>GAMMA_BAL</t>
        </is>
      </c>
      <c r="C403" t="inlineStr">
        <is>
          <t>LT</t>
        </is>
      </c>
      <c r="D403" s="19" t="n">
        <v>4200</v>
      </c>
      <c r="E403" s="21" t="n">
        <v>2413.1341</v>
      </c>
      <c r="F403" s="20" t="n">
        <v>10135163.22</v>
      </c>
    </row>
    <row r="404">
      <c r="A404" s="22" t="n">
        <v>46275</v>
      </c>
      <c r="B404" t="inlineStr">
        <is>
          <t>GAMMA_BAL</t>
        </is>
      </c>
      <c r="C404" t="inlineStr">
        <is>
          <t>MARUTI</t>
        </is>
      </c>
      <c r="D404" s="19" t="n">
        <v>8700</v>
      </c>
      <c r="E404" s="21" t="n">
        <v>1847.8587</v>
      </c>
      <c r="F404" s="20" t="n">
        <v>16076370.69</v>
      </c>
    </row>
    <row r="405">
      <c r="A405" s="22" t="n">
        <v>46275</v>
      </c>
      <c r="B405" t="inlineStr">
        <is>
          <t>GAMMA_BAL</t>
        </is>
      </c>
      <c r="C405" t="inlineStr">
        <is>
          <t>GOI7.26-36</t>
        </is>
      </c>
      <c r="D405" s="19" t="n">
        <v>358000</v>
      </c>
      <c r="E405" s="21" t="n">
        <v>103.7438</v>
      </c>
      <c r="F405" s="20" t="n">
        <v>37140280.4</v>
      </c>
    </row>
    <row r="406">
      <c r="A406" s="22" t="n">
        <v>46275</v>
      </c>
      <c r="B406" t="inlineStr">
        <is>
          <t>GAMMA_BAL</t>
        </is>
      </c>
      <c r="C406" t="inlineStr">
        <is>
          <t>SDL-MH-32</t>
        </is>
      </c>
      <c r="D406" s="19" t="n">
        <v>218500</v>
      </c>
      <c r="E406" s="21" t="n">
        <v>102.1395</v>
      </c>
      <c r="F406" s="20" t="n">
        <v>22317480.75</v>
      </c>
    </row>
    <row r="407">
      <c r="A407" s="22" t="n">
        <v>46276</v>
      </c>
      <c r="B407" t="inlineStr">
        <is>
          <t>GAMMA_BAL</t>
        </is>
      </c>
      <c r="C407" t="inlineStr">
        <is>
          <t>HDFCBANK</t>
        </is>
      </c>
      <c r="D407" s="19" t="n">
        <v>19500</v>
      </c>
      <c r="E407" s="21" t="n">
        <v>1664.0416</v>
      </c>
      <c r="F407" s="20" t="n">
        <v>32448811.2</v>
      </c>
    </row>
    <row r="408">
      <c r="A408" s="22" t="n">
        <v>46276</v>
      </c>
      <c r="B408" t="inlineStr">
        <is>
          <t>GAMMA_BAL</t>
        </is>
      </c>
      <c r="C408" t="inlineStr">
        <is>
          <t>INFY</t>
        </is>
      </c>
      <c r="D408" s="19" t="n">
        <v>10100</v>
      </c>
      <c r="E408" s="21" t="n">
        <v>1626.0839</v>
      </c>
      <c r="F408" s="20" t="n">
        <v>16423447.39</v>
      </c>
    </row>
    <row r="409">
      <c r="A409" s="22" t="n">
        <v>46276</v>
      </c>
      <c r="B409" t="inlineStr">
        <is>
          <t>GAMMA_BAL</t>
        </is>
      </c>
      <c r="C409" t="inlineStr">
        <is>
          <t>LT</t>
        </is>
      </c>
      <c r="D409" s="19" t="n">
        <v>4200</v>
      </c>
      <c r="E409" s="21" t="n">
        <v>2391.1036</v>
      </c>
      <c r="F409" s="20" t="n">
        <v>10042635.12</v>
      </c>
    </row>
    <row r="410">
      <c r="A410" s="22" t="n">
        <v>46276</v>
      </c>
      <c r="B410" t="inlineStr">
        <is>
          <t>GAMMA_BAL</t>
        </is>
      </c>
      <c r="C410" t="inlineStr">
        <is>
          <t>MARUTI</t>
        </is>
      </c>
      <c r="D410" s="19" t="n">
        <v>8700</v>
      </c>
      <c r="E410" s="21" t="n">
        <v>1843.5947</v>
      </c>
      <c r="F410" s="20" t="n">
        <v>16039273.89</v>
      </c>
    </row>
    <row r="411">
      <c r="A411" s="22" t="n">
        <v>46276</v>
      </c>
      <c r="B411" t="inlineStr">
        <is>
          <t>GAMMA_BAL</t>
        </is>
      </c>
      <c r="C411" t="inlineStr">
        <is>
          <t>GOI7.26-36</t>
        </is>
      </c>
      <c r="D411" s="19" t="n">
        <v>363000</v>
      </c>
      <c r="E411" s="21" t="n">
        <v>103.2504</v>
      </c>
      <c r="F411" s="20" t="n">
        <v>37479895.2</v>
      </c>
    </row>
    <row r="412">
      <c r="A412" s="22" t="n">
        <v>46276</v>
      </c>
      <c r="B412" t="inlineStr">
        <is>
          <t>GAMMA_BAL</t>
        </is>
      </c>
      <c r="C412" t="inlineStr">
        <is>
          <t>SDL-MH-32</t>
        </is>
      </c>
      <c r="D412" s="19" t="n">
        <v>218500</v>
      </c>
      <c r="E412" s="21" t="n">
        <v>101.7987</v>
      </c>
      <c r="F412" s="20" t="n">
        <v>22243015.95</v>
      </c>
    </row>
    <row r="413">
      <c r="A413" s="22" t="n">
        <v>46279</v>
      </c>
      <c r="B413" t="inlineStr">
        <is>
          <t>GAMMA_BAL</t>
        </is>
      </c>
      <c r="C413" t="inlineStr">
        <is>
          <t>HDFCBANK</t>
        </is>
      </c>
      <c r="D413" s="19" t="n">
        <v>19500</v>
      </c>
      <c r="E413" s="21" t="n">
        <v>1684.8246</v>
      </c>
      <c r="F413" s="20" t="n">
        <v>32854079.7</v>
      </c>
    </row>
    <row r="414">
      <c r="A414" s="22" t="n">
        <v>46279</v>
      </c>
      <c r="B414" t="inlineStr">
        <is>
          <t>GAMMA_BAL</t>
        </is>
      </c>
      <c r="C414" t="inlineStr">
        <is>
          <t>INFY</t>
        </is>
      </c>
      <c r="D414" s="19" t="n">
        <v>10100</v>
      </c>
      <c r="E414" s="21" t="n">
        <v>1661.6246</v>
      </c>
      <c r="F414" s="20" t="n">
        <v>16782408.46</v>
      </c>
    </row>
    <row r="415">
      <c r="A415" s="22" t="n">
        <v>46279</v>
      </c>
      <c r="B415" t="inlineStr">
        <is>
          <t>GAMMA_BAL</t>
        </is>
      </c>
      <c r="C415" t="inlineStr">
        <is>
          <t>LT</t>
        </is>
      </c>
      <c r="D415" s="19" t="n">
        <v>4200</v>
      </c>
      <c r="E415" s="21" t="n">
        <v>2379.2523</v>
      </c>
      <c r="F415" s="20" t="n">
        <v>9992859.66</v>
      </c>
    </row>
    <row r="416">
      <c r="A416" s="22" t="n">
        <v>46279</v>
      </c>
      <c r="B416" t="inlineStr">
        <is>
          <t>GAMMA_BAL</t>
        </is>
      </c>
      <c r="C416" t="inlineStr">
        <is>
          <t>MARUTI</t>
        </is>
      </c>
      <c r="D416" s="19" t="n">
        <v>8700</v>
      </c>
      <c r="E416" s="21" t="n">
        <v>1846.5024</v>
      </c>
      <c r="F416" s="20" t="n">
        <v>16064570.88</v>
      </c>
    </row>
    <row r="417">
      <c r="A417" s="22" t="n">
        <v>46279</v>
      </c>
      <c r="B417" t="inlineStr">
        <is>
          <t>GAMMA_BAL</t>
        </is>
      </c>
      <c r="C417" t="inlineStr">
        <is>
          <t>GOI7.26-36</t>
        </is>
      </c>
      <c r="D417" s="19" t="n">
        <v>370000</v>
      </c>
      <c r="E417" s="21" t="n">
        <v>103.0982</v>
      </c>
      <c r="F417" s="20" t="n">
        <v>38146334</v>
      </c>
    </row>
    <row r="418">
      <c r="A418" s="22" t="n">
        <v>46279</v>
      </c>
      <c r="B418" t="inlineStr">
        <is>
          <t>GAMMA_BAL</t>
        </is>
      </c>
      <c r="C418" t="inlineStr">
        <is>
          <t>SDL-MH-32</t>
        </is>
      </c>
      <c r="D418" s="19" t="n">
        <v>221300</v>
      </c>
      <c r="E418" s="21" t="n">
        <v>101.8632</v>
      </c>
      <c r="F418" s="20" t="n">
        <v>22542326.16</v>
      </c>
    </row>
    <row r="419">
      <c r="A419" s="22" t="n">
        <v>46280</v>
      </c>
      <c r="B419" t="inlineStr">
        <is>
          <t>GAMMA_BAL</t>
        </is>
      </c>
      <c r="C419" t="inlineStr">
        <is>
          <t>HDFCBANK</t>
        </is>
      </c>
      <c r="D419" s="19" t="n">
        <v>19500</v>
      </c>
      <c r="E419" s="21" t="n">
        <v>1683.9462</v>
      </c>
      <c r="F419" s="20" t="n">
        <v>32836950.9</v>
      </c>
    </row>
    <row r="420">
      <c r="A420" s="22" t="n">
        <v>46280</v>
      </c>
      <c r="B420" t="inlineStr">
        <is>
          <t>GAMMA_BAL</t>
        </is>
      </c>
      <c r="C420" t="inlineStr">
        <is>
          <t>INFY</t>
        </is>
      </c>
      <c r="D420" s="19" t="n">
        <v>10100</v>
      </c>
      <c r="E420" s="21" t="n">
        <v>1685.5176</v>
      </c>
      <c r="F420" s="20" t="n">
        <v>17023727.76</v>
      </c>
    </row>
    <row r="421">
      <c r="A421" s="22" t="n">
        <v>46280</v>
      </c>
      <c r="B421" t="inlineStr">
        <is>
          <t>GAMMA_BAL</t>
        </is>
      </c>
      <c r="C421" t="inlineStr">
        <is>
          <t>LT</t>
        </is>
      </c>
      <c r="D421" s="19" t="n">
        <v>4200</v>
      </c>
      <c r="E421" s="21" t="n">
        <v>2404.6771</v>
      </c>
      <c r="F421" s="20" t="n">
        <v>10099643.82</v>
      </c>
    </row>
    <row r="422">
      <c r="A422" s="22" t="n">
        <v>46280</v>
      </c>
      <c r="B422" t="inlineStr">
        <is>
          <t>GAMMA_BAL</t>
        </is>
      </c>
      <c r="C422" t="inlineStr">
        <is>
          <t>MARUTI</t>
        </is>
      </c>
      <c r="D422" s="19" t="n">
        <v>8700</v>
      </c>
      <c r="E422" s="21" t="n">
        <v>1856.9294</v>
      </c>
      <c r="F422" s="20" t="n">
        <v>16155285.78</v>
      </c>
    </row>
    <row r="423">
      <c r="A423" s="22" t="n">
        <v>46280</v>
      </c>
      <c r="B423" t="inlineStr">
        <is>
          <t>GAMMA_BAL</t>
        </is>
      </c>
      <c r="C423" t="inlineStr">
        <is>
          <t>GOI7.26-36</t>
        </is>
      </c>
      <c r="D423" s="19" t="n">
        <v>370200</v>
      </c>
      <c r="E423" s="21" t="n">
        <v>103.0366</v>
      </c>
      <c r="F423" s="20" t="n">
        <v>38144149.32</v>
      </c>
    </row>
    <row r="424">
      <c r="A424" s="22" t="n">
        <v>46280</v>
      </c>
      <c r="B424" t="inlineStr">
        <is>
          <t>GAMMA_BAL</t>
        </is>
      </c>
      <c r="C424" t="inlineStr">
        <is>
          <t>SDL-MH-32</t>
        </is>
      </c>
      <c r="D424" s="19" t="n">
        <v>221300</v>
      </c>
      <c r="E424" s="21" t="n">
        <v>102.0787</v>
      </c>
      <c r="F424" s="20" t="n">
        <v>22590016.31</v>
      </c>
    </row>
    <row r="425">
      <c r="A425" s="22" t="n">
        <v>46281</v>
      </c>
      <c r="B425" t="inlineStr">
        <is>
          <t>GAMMA_BAL</t>
        </is>
      </c>
      <c r="C425" t="inlineStr">
        <is>
          <t>HDFCBANK</t>
        </is>
      </c>
      <c r="D425" s="19" t="n">
        <v>19500</v>
      </c>
      <c r="E425" s="21" t="n">
        <v>1679.5834</v>
      </c>
      <c r="F425" s="20" t="n">
        <v>32751876.3</v>
      </c>
    </row>
    <row r="426">
      <c r="A426" s="22" t="n">
        <v>46281</v>
      </c>
      <c r="B426" t="inlineStr">
        <is>
          <t>GAMMA_BAL</t>
        </is>
      </c>
      <c r="C426" t="inlineStr">
        <is>
          <t>INFY</t>
        </is>
      </c>
      <c r="D426" s="19" t="n">
        <v>10100</v>
      </c>
      <c r="E426" s="21" t="n">
        <v>1711.5513</v>
      </c>
      <c r="F426" s="20" t="n">
        <v>17286668.13</v>
      </c>
    </row>
    <row r="427">
      <c r="A427" s="22" t="n">
        <v>46281</v>
      </c>
      <c r="B427" t="inlineStr">
        <is>
          <t>GAMMA_BAL</t>
        </is>
      </c>
      <c r="C427" t="inlineStr">
        <is>
          <t>LT</t>
        </is>
      </c>
      <c r="D427" s="19" t="n">
        <v>4200</v>
      </c>
      <c r="E427" s="21" t="n">
        <v>2434.0072</v>
      </c>
      <c r="F427" s="20" t="n">
        <v>10222830.24</v>
      </c>
    </row>
    <row r="428">
      <c r="A428" s="22" t="n">
        <v>46281</v>
      </c>
      <c r="B428" t="inlineStr">
        <is>
          <t>GAMMA_BAL</t>
        </is>
      </c>
      <c r="C428" t="inlineStr">
        <is>
          <t>MARUTI</t>
        </is>
      </c>
      <c r="D428" s="19" t="n">
        <v>8700</v>
      </c>
      <c r="E428" s="21" t="n">
        <v>1841.4372</v>
      </c>
      <c r="F428" s="20" t="n">
        <v>16020503.64</v>
      </c>
    </row>
    <row r="429">
      <c r="A429" s="22" t="n">
        <v>46281</v>
      </c>
      <c r="B429" t="inlineStr">
        <is>
          <t>GAMMA_BAL</t>
        </is>
      </c>
      <c r="C429" t="inlineStr">
        <is>
          <t>GOI7.26-36</t>
        </is>
      </c>
      <c r="D429" s="19" t="n">
        <v>370200</v>
      </c>
      <c r="E429" s="21" t="n">
        <v>103.0548</v>
      </c>
      <c r="F429" s="20" t="n">
        <v>38150886.96</v>
      </c>
    </row>
    <row r="430">
      <c r="A430" s="22" t="n">
        <v>46281</v>
      </c>
      <c r="B430" t="inlineStr">
        <is>
          <t>GAMMA_BAL</t>
        </is>
      </c>
      <c r="C430" t="inlineStr">
        <is>
          <t>SDL-MH-32</t>
        </is>
      </c>
      <c r="D430" s="19" t="n">
        <v>217300</v>
      </c>
      <c r="E430" s="21" t="n">
        <v>102.6194</v>
      </c>
      <c r="F430" s="20" t="n">
        <v>22299195.62</v>
      </c>
    </row>
    <row r="431">
      <c r="A431" s="22" t="n">
        <v>46282</v>
      </c>
      <c r="B431" t="inlineStr">
        <is>
          <t>GAMMA_BAL</t>
        </is>
      </c>
      <c r="C431" t="inlineStr">
        <is>
          <t>HDFCBANK</t>
        </is>
      </c>
      <c r="D431" s="19" t="n">
        <v>19500</v>
      </c>
      <c r="E431" s="21" t="n">
        <v>1732.5681</v>
      </c>
      <c r="F431" s="20" t="n">
        <v>33785077.95</v>
      </c>
    </row>
    <row r="432">
      <c r="A432" s="22" t="n">
        <v>46282</v>
      </c>
      <c r="B432" t="inlineStr">
        <is>
          <t>GAMMA_BAL</t>
        </is>
      </c>
      <c r="C432" t="inlineStr">
        <is>
          <t>INFY</t>
        </is>
      </c>
      <c r="D432" s="19" t="n">
        <v>8100</v>
      </c>
      <c r="E432" s="21" t="n">
        <v>1731.3747</v>
      </c>
      <c r="F432" s="20" t="n">
        <v>14024135.07</v>
      </c>
    </row>
    <row r="433">
      <c r="A433" s="22" t="n">
        <v>46282</v>
      </c>
      <c r="B433" t="inlineStr">
        <is>
          <t>GAMMA_BAL</t>
        </is>
      </c>
      <c r="C433" t="inlineStr">
        <is>
          <t>LT</t>
        </is>
      </c>
      <c r="D433" s="19" t="n">
        <v>4500</v>
      </c>
      <c r="E433" s="21" t="n">
        <v>2467.7097</v>
      </c>
      <c r="F433" s="20" t="n">
        <v>11104693.65</v>
      </c>
    </row>
    <row r="434">
      <c r="A434" s="22" t="n">
        <v>46282</v>
      </c>
      <c r="B434" t="inlineStr">
        <is>
          <t>GAMMA_BAL</t>
        </is>
      </c>
      <c r="C434" t="inlineStr">
        <is>
          <t>MARUTI</t>
        </is>
      </c>
      <c r="D434" s="19" t="n">
        <v>8700</v>
      </c>
      <c r="E434" s="21" t="n">
        <v>1847.7881</v>
      </c>
      <c r="F434" s="20" t="n">
        <v>16075756.47</v>
      </c>
    </row>
    <row r="435">
      <c r="A435" s="22" t="n">
        <v>46282</v>
      </c>
      <c r="B435" t="inlineStr">
        <is>
          <t>GAMMA_BAL</t>
        </is>
      </c>
      <c r="C435" t="inlineStr">
        <is>
          <t>GOI7.26-36</t>
        </is>
      </c>
      <c r="D435" s="19" t="n">
        <v>370200</v>
      </c>
      <c r="E435" s="21" t="n">
        <v>103.108</v>
      </c>
      <c r="F435" s="20" t="n">
        <v>38170581.6</v>
      </c>
    </row>
    <row r="436">
      <c r="A436" s="22" t="n">
        <v>46282</v>
      </c>
      <c r="B436" t="inlineStr">
        <is>
          <t>GAMMA_BAL</t>
        </is>
      </c>
      <c r="C436" t="inlineStr">
        <is>
          <t>SDL-MH-32</t>
        </is>
      </c>
      <c r="D436" s="19" t="n">
        <v>216700</v>
      </c>
      <c r="E436" s="21" t="n">
        <v>102.8245</v>
      </c>
      <c r="F436" s="20" t="n">
        <v>22282069.15</v>
      </c>
    </row>
    <row r="437">
      <c r="A437" s="22" t="n">
        <v>46283</v>
      </c>
      <c r="B437" t="inlineStr">
        <is>
          <t>GAMMA_BAL</t>
        </is>
      </c>
      <c r="C437" t="inlineStr">
        <is>
          <t>HDFCBANK</t>
        </is>
      </c>
      <c r="D437" s="19" t="n">
        <v>19500</v>
      </c>
      <c r="E437" s="21" t="n">
        <v>1727.7764</v>
      </c>
      <c r="F437" s="20" t="n">
        <v>33691639.8</v>
      </c>
    </row>
    <row r="438">
      <c r="A438" s="22" t="n">
        <v>46283</v>
      </c>
      <c r="B438" t="inlineStr">
        <is>
          <t>GAMMA_BAL</t>
        </is>
      </c>
      <c r="C438" t="inlineStr">
        <is>
          <t>INFY</t>
        </is>
      </c>
      <c r="D438" s="19" t="n">
        <v>9100</v>
      </c>
      <c r="E438" s="21" t="n">
        <v>1749.5173</v>
      </c>
      <c r="F438" s="20" t="n">
        <v>15920607.43</v>
      </c>
    </row>
    <row r="439">
      <c r="A439" s="22" t="n">
        <v>46283</v>
      </c>
      <c r="B439" t="inlineStr">
        <is>
          <t>GAMMA_BAL</t>
        </is>
      </c>
      <c r="C439" t="inlineStr">
        <is>
          <t>LT</t>
        </is>
      </c>
      <c r="D439" s="19" t="n">
        <v>4500</v>
      </c>
      <c r="E439" s="21" t="n">
        <v>2416.1937</v>
      </c>
      <c r="F439" s="20" t="n">
        <v>10872871.65</v>
      </c>
    </row>
    <row r="440">
      <c r="A440" s="22" t="n">
        <v>46283</v>
      </c>
      <c r="B440" t="inlineStr">
        <is>
          <t>GAMMA_BAL</t>
        </is>
      </c>
      <c r="C440" t="inlineStr">
        <is>
          <t>MARUTI</t>
        </is>
      </c>
      <c r="D440" s="19" t="n">
        <v>9300</v>
      </c>
      <c r="E440" s="21" t="n">
        <v>1855.2905</v>
      </c>
      <c r="F440" s="20" t="n">
        <v>17254201.65</v>
      </c>
    </row>
    <row r="441">
      <c r="A441" s="22" t="n">
        <v>46283</v>
      </c>
      <c r="B441" t="inlineStr">
        <is>
          <t>GAMMA_BAL</t>
        </is>
      </c>
      <c r="C441" t="inlineStr">
        <is>
          <t>GOI7.26-36</t>
        </is>
      </c>
      <c r="D441" s="19" t="n">
        <v>370200</v>
      </c>
      <c r="E441" s="21" t="n">
        <v>103.0155</v>
      </c>
      <c r="F441" s="20" t="n">
        <v>38136338.1</v>
      </c>
    </row>
    <row r="442">
      <c r="A442" s="22" t="n">
        <v>46283</v>
      </c>
      <c r="B442" t="inlineStr">
        <is>
          <t>GAMMA_BAL</t>
        </is>
      </c>
      <c r="C442" t="inlineStr">
        <is>
          <t>SDL-MH-32</t>
        </is>
      </c>
      <c r="D442" s="19" t="n">
        <v>216700</v>
      </c>
      <c r="E442" s="21" t="n">
        <v>102.7388</v>
      </c>
      <c r="F442" s="20" t="n">
        <v>22263497.96</v>
      </c>
    </row>
    <row r="443">
      <c r="A443" s="22" t="n">
        <v>46286</v>
      </c>
      <c r="B443" t="inlineStr">
        <is>
          <t>GAMMA_BAL</t>
        </is>
      </c>
      <c r="C443" t="inlineStr">
        <is>
          <t>HDFCBANK</t>
        </is>
      </c>
      <c r="D443" s="19" t="n">
        <v>19500</v>
      </c>
      <c r="E443" s="21" t="n">
        <v>1712.7116</v>
      </c>
      <c r="F443" s="20" t="n">
        <v>33397876.2</v>
      </c>
    </row>
    <row r="444">
      <c r="A444" s="22" t="n">
        <v>46286</v>
      </c>
      <c r="B444" t="inlineStr">
        <is>
          <t>GAMMA_BAL</t>
        </is>
      </c>
      <c r="C444" t="inlineStr">
        <is>
          <t>INFY</t>
        </is>
      </c>
      <c r="D444" s="19" t="n">
        <v>6100</v>
      </c>
      <c r="E444" s="21" t="n">
        <v>1755.2328</v>
      </c>
      <c r="F444" s="20" t="n">
        <v>10706920.08</v>
      </c>
    </row>
    <row r="445">
      <c r="A445" s="22" t="n">
        <v>46286</v>
      </c>
      <c r="B445" t="inlineStr">
        <is>
          <t>GAMMA_BAL</t>
        </is>
      </c>
      <c r="C445" t="inlineStr">
        <is>
          <t>LT</t>
        </is>
      </c>
      <c r="D445" s="19" t="n">
        <v>2500</v>
      </c>
      <c r="E445" s="21" t="n">
        <v>2399.3349</v>
      </c>
      <c r="F445" s="20" t="n">
        <v>5998337.25</v>
      </c>
    </row>
    <row r="446">
      <c r="A446" s="22" t="n">
        <v>46286</v>
      </c>
      <c r="B446" t="inlineStr">
        <is>
          <t>GAMMA_BAL</t>
        </is>
      </c>
      <c r="C446" t="inlineStr">
        <is>
          <t>MARUTI</t>
        </is>
      </c>
      <c r="D446" s="19" t="n">
        <v>9300</v>
      </c>
      <c r="E446" s="21" t="n">
        <v>1837.145</v>
      </c>
      <c r="F446" s="20" t="n">
        <v>17085448.5</v>
      </c>
    </row>
    <row r="447">
      <c r="A447" s="22" t="n">
        <v>46286</v>
      </c>
      <c r="B447" t="inlineStr">
        <is>
          <t>GAMMA_BAL</t>
        </is>
      </c>
      <c r="C447" t="inlineStr">
        <is>
          <t>GOI7.26-36</t>
        </is>
      </c>
      <c r="D447" s="19" t="n">
        <v>370200</v>
      </c>
      <c r="E447" s="21" t="n">
        <v>103.0865</v>
      </c>
      <c r="F447" s="20" t="n">
        <v>38162622.3</v>
      </c>
    </row>
    <row r="448">
      <c r="A448" s="22" t="n">
        <v>46286</v>
      </c>
      <c r="B448" t="inlineStr">
        <is>
          <t>GAMMA_BAL</t>
        </is>
      </c>
      <c r="C448" t="inlineStr">
        <is>
          <t>SDL-MH-32</t>
        </is>
      </c>
      <c r="D448" s="19" t="n">
        <v>216700</v>
      </c>
      <c r="E448" s="21" t="n">
        <v>102.7673</v>
      </c>
      <c r="F448" s="20" t="n">
        <v>22269673.91</v>
      </c>
    </row>
    <row r="449">
      <c r="A449" s="22" t="n">
        <v>46287</v>
      </c>
      <c r="B449" t="inlineStr">
        <is>
          <t>GAMMA_BAL</t>
        </is>
      </c>
      <c r="C449" t="inlineStr">
        <is>
          <t>HDFCBANK</t>
        </is>
      </c>
      <c r="D449" s="19" t="n">
        <v>19500</v>
      </c>
      <c r="E449" s="21" t="n">
        <v>1690.5146</v>
      </c>
      <c r="F449" s="20" t="n">
        <v>32965034.7</v>
      </c>
    </row>
    <row r="450">
      <c r="A450" s="22" t="n">
        <v>46287</v>
      </c>
      <c r="B450" t="inlineStr">
        <is>
          <t>GAMMA_BAL</t>
        </is>
      </c>
      <c r="C450" t="inlineStr">
        <is>
          <t>INFY</t>
        </is>
      </c>
      <c r="D450" s="19" t="n">
        <v>6100</v>
      </c>
      <c r="E450" s="21" t="n">
        <v>1775.4202</v>
      </c>
      <c r="F450" s="20" t="n">
        <v>10830063.22</v>
      </c>
    </row>
    <row r="451">
      <c r="A451" s="22" t="n">
        <v>46287</v>
      </c>
      <c r="B451" t="inlineStr">
        <is>
          <t>GAMMA_BAL</t>
        </is>
      </c>
      <c r="C451" t="inlineStr">
        <is>
          <t>LT</t>
        </is>
      </c>
      <c r="D451" s="19" t="n">
        <v>2500</v>
      </c>
      <c r="E451" s="21" t="n">
        <v>2326.9214</v>
      </c>
      <c r="F451" s="20" t="n">
        <v>5817303.5</v>
      </c>
    </row>
    <row r="452">
      <c r="A452" s="22" t="n">
        <v>46287</v>
      </c>
      <c r="B452" t="inlineStr">
        <is>
          <t>GAMMA_BAL</t>
        </is>
      </c>
      <c r="C452" t="inlineStr">
        <is>
          <t>MARUTI</t>
        </is>
      </c>
      <c r="D452" s="19" t="n">
        <v>16300</v>
      </c>
      <c r="E452" s="21" t="n">
        <v>1818.138</v>
      </c>
      <c r="F452" s="20" t="n">
        <v>29635649.4</v>
      </c>
    </row>
    <row r="453">
      <c r="A453" s="22" t="n">
        <v>46287</v>
      </c>
      <c r="B453" t="inlineStr">
        <is>
          <t>GAMMA_BAL</t>
        </is>
      </c>
      <c r="C453" t="inlineStr">
        <is>
          <t>GOI7.26-36</t>
        </is>
      </c>
      <c r="D453" s="19" t="n">
        <v>371700</v>
      </c>
      <c r="E453" s="21" t="n">
        <v>102.9176</v>
      </c>
      <c r="F453" s="20" t="n">
        <v>38254471.92</v>
      </c>
    </row>
    <row r="454">
      <c r="A454" s="22" t="n">
        <v>46287</v>
      </c>
      <c r="B454" t="inlineStr">
        <is>
          <t>GAMMA_BAL</t>
        </is>
      </c>
      <c r="C454" t="inlineStr">
        <is>
          <t>SDL-MH-32</t>
        </is>
      </c>
      <c r="D454" s="19" t="n">
        <v>216700</v>
      </c>
      <c r="E454" s="21" t="n">
        <v>102.6928</v>
      </c>
      <c r="F454" s="20" t="n">
        <v>22253529.76</v>
      </c>
    </row>
    <row r="455">
      <c r="A455" s="22" t="n">
        <v>46288</v>
      </c>
      <c r="B455" t="inlineStr">
        <is>
          <t>GAMMA_BAL</t>
        </is>
      </c>
      <c r="C455" t="inlineStr">
        <is>
          <t>HDFCBANK</t>
        </is>
      </c>
      <c r="D455" s="19" t="n">
        <v>19500</v>
      </c>
      <c r="E455" s="21" t="n">
        <v>1693.6345</v>
      </c>
      <c r="F455" s="20" t="n">
        <v>33025872.75</v>
      </c>
    </row>
    <row r="456">
      <c r="A456" s="22" t="n">
        <v>46288</v>
      </c>
      <c r="B456" t="inlineStr">
        <is>
          <t>GAMMA_BAL</t>
        </is>
      </c>
      <c r="C456" t="inlineStr">
        <is>
          <t>INFY</t>
        </is>
      </c>
      <c r="D456" s="19" t="n">
        <v>6100</v>
      </c>
      <c r="E456" s="21" t="n">
        <v>1820.7494</v>
      </c>
      <c r="F456" s="20" t="n">
        <v>11106571.34</v>
      </c>
    </row>
    <row r="457">
      <c r="A457" s="22" t="n">
        <v>46288</v>
      </c>
      <c r="B457" t="inlineStr">
        <is>
          <t>GAMMA_BAL</t>
        </is>
      </c>
      <c r="C457" t="inlineStr">
        <is>
          <t>LT</t>
        </is>
      </c>
      <c r="D457" s="19" t="n">
        <v>2500</v>
      </c>
      <c r="E457" s="21" t="n">
        <v>2325.4645</v>
      </c>
      <c r="F457" s="20" t="n">
        <v>5813661.25</v>
      </c>
    </row>
    <row r="458">
      <c r="A458" s="22" t="n">
        <v>46288</v>
      </c>
      <c r="B458" t="inlineStr">
        <is>
          <t>GAMMA_BAL</t>
        </is>
      </c>
      <c r="C458" t="inlineStr">
        <is>
          <t>MARUTI</t>
        </is>
      </c>
      <c r="D458" s="19" t="n">
        <v>15700</v>
      </c>
      <c r="E458" s="21" t="n">
        <v>1793.9825</v>
      </c>
      <c r="F458" s="20" t="n">
        <v>28165525.25</v>
      </c>
    </row>
    <row r="459">
      <c r="A459" s="22" t="n">
        <v>46288</v>
      </c>
      <c r="B459" t="inlineStr">
        <is>
          <t>GAMMA_BAL</t>
        </is>
      </c>
      <c r="C459" t="inlineStr">
        <is>
          <t>GOI7.26-36</t>
        </is>
      </c>
      <c r="D459" s="19" t="n">
        <v>371700</v>
      </c>
      <c r="E459" s="21" t="n">
        <v>102.6532</v>
      </c>
      <c r="F459" s="20" t="n">
        <v>38156194.44</v>
      </c>
    </row>
    <row r="460">
      <c r="A460" s="22" t="n">
        <v>46288</v>
      </c>
      <c r="B460" t="inlineStr">
        <is>
          <t>GAMMA_BAL</t>
        </is>
      </c>
      <c r="C460" t="inlineStr">
        <is>
          <t>SDL-MH-32</t>
        </is>
      </c>
      <c r="D460" s="19" t="n">
        <v>216700</v>
      </c>
      <c r="E460" s="21" t="n">
        <v>102.8066</v>
      </c>
      <c r="F460" s="20" t="n">
        <v>22278190.22</v>
      </c>
    </row>
    <row r="461">
      <c r="A461" s="22" t="n">
        <v>46289</v>
      </c>
      <c r="B461" t="inlineStr">
        <is>
          <t>GAMMA_BAL</t>
        </is>
      </c>
      <c r="C461" t="inlineStr">
        <is>
          <t>HDFCBANK</t>
        </is>
      </c>
      <c r="D461" s="19" t="n">
        <v>19500</v>
      </c>
      <c r="E461" s="21" t="n">
        <v>1697.7734</v>
      </c>
      <c r="F461" s="20" t="n">
        <v>33106581.3</v>
      </c>
    </row>
    <row r="462">
      <c r="A462" s="22" t="n">
        <v>46289</v>
      </c>
      <c r="B462" t="inlineStr">
        <is>
          <t>GAMMA_BAL</t>
        </is>
      </c>
      <c r="C462" t="inlineStr">
        <is>
          <t>INFY</t>
        </is>
      </c>
      <c r="D462" s="19" t="n">
        <v>6100</v>
      </c>
      <c r="E462" s="21" t="n">
        <v>1813.6725</v>
      </c>
      <c r="F462" s="20" t="n">
        <v>11063402.25</v>
      </c>
    </row>
    <row r="463">
      <c r="A463" s="22" t="n">
        <v>46289</v>
      </c>
      <c r="B463" t="inlineStr">
        <is>
          <t>GAMMA_BAL</t>
        </is>
      </c>
      <c r="C463" t="inlineStr">
        <is>
          <t>LT</t>
        </is>
      </c>
      <c r="D463" s="19" t="n">
        <v>2500</v>
      </c>
      <c r="E463" s="21" t="n">
        <v>2345.2349</v>
      </c>
      <c r="F463" s="20" t="n">
        <v>5863087.25</v>
      </c>
    </row>
    <row r="464">
      <c r="A464" s="22" t="n">
        <v>46289</v>
      </c>
      <c r="B464" t="inlineStr">
        <is>
          <t>GAMMA_BAL</t>
        </is>
      </c>
      <c r="C464" t="inlineStr">
        <is>
          <t>MARUTI</t>
        </is>
      </c>
      <c r="D464" s="19" t="n">
        <v>19700</v>
      </c>
      <c r="E464" s="21" t="n">
        <v>1768.5317</v>
      </c>
      <c r="F464" s="20" t="n">
        <v>34840074.49</v>
      </c>
    </row>
    <row r="465">
      <c r="A465" s="22" t="n">
        <v>46289</v>
      </c>
      <c r="B465" t="inlineStr">
        <is>
          <t>GAMMA_BAL</t>
        </is>
      </c>
      <c r="C465" t="inlineStr">
        <is>
          <t>GOI7.26-36</t>
        </is>
      </c>
      <c r="D465" s="19" t="n">
        <v>371700</v>
      </c>
      <c r="E465" s="21" t="n">
        <v>103.1323</v>
      </c>
      <c r="F465" s="20" t="n">
        <v>38334275.91</v>
      </c>
    </row>
    <row r="466">
      <c r="A466" s="22" t="n">
        <v>46289</v>
      </c>
      <c r="B466" t="inlineStr">
        <is>
          <t>GAMMA_BAL</t>
        </is>
      </c>
      <c r="C466" t="inlineStr">
        <is>
          <t>SDL-MH-32</t>
        </is>
      </c>
      <c r="D466" s="19" t="n">
        <v>216700</v>
      </c>
      <c r="E466" s="21" t="n">
        <v>103.0962</v>
      </c>
      <c r="F466" s="20" t="n">
        <v>22340946.54</v>
      </c>
    </row>
    <row r="467">
      <c r="A467" s="22" t="n">
        <v>46290</v>
      </c>
      <c r="B467" t="inlineStr">
        <is>
          <t>GAMMA_BAL</t>
        </is>
      </c>
      <c r="C467" t="inlineStr">
        <is>
          <t>HDFCBANK</t>
        </is>
      </c>
      <c r="D467" s="19" t="n">
        <v>19500</v>
      </c>
      <c r="E467" s="21" t="n">
        <v>1691.9358</v>
      </c>
      <c r="F467" s="20" t="n">
        <v>32992748.1</v>
      </c>
    </row>
    <row r="468">
      <c r="A468" s="22" t="n">
        <v>46290</v>
      </c>
      <c r="B468" t="inlineStr">
        <is>
          <t>GAMMA_BAL</t>
        </is>
      </c>
      <c r="C468" t="inlineStr">
        <is>
          <t>INFY</t>
        </is>
      </c>
      <c r="D468" s="19" t="n">
        <v>4100</v>
      </c>
      <c r="E468" s="21" t="n">
        <v>1797.3254</v>
      </c>
      <c r="F468" s="20" t="n">
        <v>7369034.14</v>
      </c>
    </row>
    <row r="469">
      <c r="A469" s="22" t="n">
        <v>46290</v>
      </c>
      <c r="B469" t="inlineStr">
        <is>
          <t>GAMMA_BAL</t>
        </is>
      </c>
      <c r="C469" t="inlineStr">
        <is>
          <t>LT</t>
        </is>
      </c>
      <c r="D469" s="19" t="n">
        <v>2500</v>
      </c>
      <c r="E469" s="21" t="n">
        <v>2323.5838</v>
      </c>
      <c r="F469" s="20" t="n">
        <v>5808959.5</v>
      </c>
    </row>
    <row r="470">
      <c r="A470" s="22" t="n">
        <v>46290</v>
      </c>
      <c r="B470" t="inlineStr">
        <is>
          <t>GAMMA_BAL</t>
        </is>
      </c>
      <c r="C470" t="inlineStr">
        <is>
          <t>MARUTI</t>
        </is>
      </c>
      <c r="D470" s="19" t="n">
        <v>16700</v>
      </c>
      <c r="E470" s="21" t="n">
        <v>1791.8026</v>
      </c>
      <c r="F470" s="20" t="n">
        <v>29923103.42</v>
      </c>
    </row>
    <row r="471">
      <c r="A471" s="22" t="n">
        <v>46290</v>
      </c>
      <c r="B471" t="inlineStr">
        <is>
          <t>GAMMA_BAL</t>
        </is>
      </c>
      <c r="C471" t="inlineStr">
        <is>
          <t>GOI7.26-36</t>
        </is>
      </c>
      <c r="D471" s="19" t="n">
        <v>371700</v>
      </c>
      <c r="E471" s="21" t="n">
        <v>103.2561</v>
      </c>
      <c r="F471" s="20" t="n">
        <v>38380292.37</v>
      </c>
    </row>
    <row r="472">
      <c r="A472" s="22" t="n">
        <v>46290</v>
      </c>
      <c r="B472" t="inlineStr">
        <is>
          <t>GAMMA_BAL</t>
        </is>
      </c>
      <c r="C472" t="inlineStr">
        <is>
          <t>SDL-MH-32</t>
        </is>
      </c>
      <c r="D472" s="19" t="n">
        <v>216700</v>
      </c>
      <c r="E472" s="21" t="n">
        <v>102.9685</v>
      </c>
      <c r="F472" s="20" t="n">
        <v>22313273.95</v>
      </c>
    </row>
    <row r="473">
      <c r="A473" s="22" t="n">
        <v>46293</v>
      </c>
      <c r="B473" t="inlineStr">
        <is>
          <t>GAMMA_BAL</t>
        </is>
      </c>
      <c r="C473" t="inlineStr">
        <is>
          <t>HDFCBANK</t>
        </is>
      </c>
      <c r="D473" s="19" t="n">
        <v>19500</v>
      </c>
      <c r="E473" s="21" t="n">
        <v>1691.8581</v>
      </c>
      <c r="F473" s="20" t="n">
        <v>32991232.95</v>
      </c>
    </row>
    <row r="474">
      <c r="A474" s="22" t="n">
        <v>46293</v>
      </c>
      <c r="B474" t="inlineStr">
        <is>
          <t>GAMMA_BAL</t>
        </is>
      </c>
      <c r="C474" t="inlineStr">
        <is>
          <t>INFY</t>
        </is>
      </c>
      <c r="D474" s="19" t="n">
        <v>4100</v>
      </c>
      <c r="E474" s="21" t="n">
        <v>1847.9043</v>
      </c>
      <c r="F474" s="20" t="n">
        <v>7576407.63</v>
      </c>
    </row>
    <row r="475">
      <c r="A475" s="22" t="n">
        <v>46293</v>
      </c>
      <c r="B475" t="inlineStr">
        <is>
          <t>GAMMA_BAL</t>
        </is>
      </c>
      <c r="C475" t="inlineStr">
        <is>
          <t>LT</t>
        </is>
      </c>
      <c r="D475" s="19" t="n">
        <v>2200</v>
      </c>
      <c r="E475" s="21" t="n">
        <v>2332.6047</v>
      </c>
      <c r="F475" s="20" t="n">
        <v>5131730.34</v>
      </c>
    </row>
    <row r="476">
      <c r="A476" s="22" t="n">
        <v>46293</v>
      </c>
      <c r="B476" t="inlineStr">
        <is>
          <t>GAMMA_BAL</t>
        </is>
      </c>
      <c r="C476" t="inlineStr">
        <is>
          <t>MARUTI</t>
        </is>
      </c>
      <c r="D476" s="19" t="n">
        <v>16700</v>
      </c>
      <c r="E476" s="21" t="n">
        <v>1733.8518</v>
      </c>
      <c r="F476" s="20" t="n">
        <v>28955325.06</v>
      </c>
    </row>
    <row r="477">
      <c r="A477" s="22" t="n">
        <v>46293</v>
      </c>
      <c r="B477" t="inlineStr">
        <is>
          <t>GAMMA_BAL</t>
        </is>
      </c>
      <c r="C477" t="inlineStr">
        <is>
          <t>GOI7.26-36</t>
        </is>
      </c>
      <c r="D477" s="19" t="n">
        <v>370700</v>
      </c>
      <c r="E477" s="21" t="n">
        <v>103.4043</v>
      </c>
      <c r="F477" s="20" t="n">
        <v>38331974.01</v>
      </c>
    </row>
    <row r="478">
      <c r="A478" s="22" t="n">
        <v>46293</v>
      </c>
      <c r="B478" t="inlineStr">
        <is>
          <t>GAMMA_BAL</t>
        </is>
      </c>
      <c r="C478" t="inlineStr">
        <is>
          <t>SDL-MH-32</t>
        </is>
      </c>
      <c r="D478" s="19" t="n">
        <v>216700</v>
      </c>
      <c r="E478" s="21" t="n">
        <v>102.6457</v>
      </c>
      <c r="F478" s="20" t="n">
        <v>22243323.19</v>
      </c>
    </row>
    <row r="479">
      <c r="A479" s="22" t="n">
        <v>46294</v>
      </c>
      <c r="B479" t="inlineStr">
        <is>
          <t>GAMMA_BAL</t>
        </is>
      </c>
      <c r="C479" t="inlineStr">
        <is>
          <t>HDFCBANK</t>
        </is>
      </c>
      <c r="D479" s="19" t="n">
        <v>19500</v>
      </c>
      <c r="E479" s="21" t="n">
        <v>1698.5868</v>
      </c>
      <c r="F479" s="20" t="n">
        <v>33122442.6</v>
      </c>
    </row>
    <row r="480">
      <c r="A480" s="22" t="n">
        <v>46294</v>
      </c>
      <c r="B480" t="inlineStr">
        <is>
          <t>GAMMA_BAL</t>
        </is>
      </c>
      <c r="C480" t="inlineStr">
        <is>
          <t>INFY</t>
        </is>
      </c>
      <c r="D480" s="19" t="n">
        <v>3300</v>
      </c>
      <c r="E480" s="21" t="n">
        <v>1855.5281</v>
      </c>
      <c r="F480" s="20" t="n">
        <v>6123242.73</v>
      </c>
    </row>
    <row r="481">
      <c r="A481" s="22" t="n">
        <v>46294</v>
      </c>
      <c r="B481" t="inlineStr">
        <is>
          <t>GAMMA_BAL</t>
        </is>
      </c>
      <c r="C481" t="inlineStr">
        <is>
          <t>LT</t>
        </is>
      </c>
      <c r="D481" s="19" t="n">
        <v>2200</v>
      </c>
      <c r="E481" s="21" t="n">
        <v>2341.253</v>
      </c>
      <c r="F481" s="20" t="n">
        <v>5150756.6</v>
      </c>
    </row>
    <row r="482">
      <c r="A482" s="22" t="n">
        <v>46294</v>
      </c>
      <c r="B482" t="inlineStr">
        <is>
          <t>GAMMA_BAL</t>
        </is>
      </c>
      <c r="C482" t="inlineStr">
        <is>
          <t>MARUTI</t>
        </is>
      </c>
      <c r="D482" s="19" t="n">
        <v>16700</v>
      </c>
      <c r="E482" s="21" t="n">
        <v>1728.5898</v>
      </c>
      <c r="F482" s="20" t="n">
        <v>28867449.66</v>
      </c>
    </row>
    <row r="483">
      <c r="A483" s="22" t="n">
        <v>46294</v>
      </c>
      <c r="B483" t="inlineStr">
        <is>
          <t>GAMMA_BAL</t>
        </is>
      </c>
      <c r="C483" t="inlineStr">
        <is>
          <t>GOI7.26-36</t>
        </is>
      </c>
      <c r="D483" s="19" t="n">
        <v>370700</v>
      </c>
      <c r="E483" s="21" t="n">
        <v>102.9219</v>
      </c>
      <c r="F483" s="20" t="n">
        <v>38153148.33</v>
      </c>
    </row>
    <row r="484">
      <c r="A484" s="22" t="n">
        <v>46294</v>
      </c>
      <c r="B484" t="inlineStr">
        <is>
          <t>GAMMA_BAL</t>
        </is>
      </c>
      <c r="C484" t="inlineStr">
        <is>
          <t>SDL-MH-32</t>
        </is>
      </c>
      <c r="D484" s="19" t="n">
        <v>216700</v>
      </c>
      <c r="E484" s="21" t="n">
        <v>102.3071</v>
      </c>
      <c r="F484" s="20" t="n">
        <v>22169948.57</v>
      </c>
    </row>
    <row r="485">
      <c r="A485" s="22" t="n">
        <v>46295</v>
      </c>
      <c r="B485" t="inlineStr">
        <is>
          <t>GAMMA_BAL</t>
        </is>
      </c>
      <c r="C485" t="inlineStr">
        <is>
          <t>HDFCBANK</t>
        </is>
      </c>
      <c r="D485" s="19" t="n">
        <v>11500</v>
      </c>
      <c r="E485" s="21" t="n">
        <v>1713.889</v>
      </c>
      <c r="F485" s="20" t="n">
        <v>19709723.5</v>
      </c>
    </row>
    <row r="486">
      <c r="A486" s="22" t="n">
        <v>46295</v>
      </c>
      <c r="B486" t="inlineStr">
        <is>
          <t>GAMMA_BAL</t>
        </is>
      </c>
      <c r="C486" t="inlineStr">
        <is>
          <t>INFY</t>
        </is>
      </c>
      <c r="D486" s="19" t="n">
        <v>3300</v>
      </c>
      <c r="E486" s="21" t="n">
        <v>1882.0503</v>
      </c>
      <c r="F486" s="20" t="n">
        <v>6210765.99</v>
      </c>
    </row>
    <row r="487">
      <c r="A487" s="22" t="n">
        <v>46295</v>
      </c>
      <c r="B487" t="inlineStr">
        <is>
          <t>GAMMA_BAL</t>
        </is>
      </c>
      <c r="C487" t="inlineStr">
        <is>
          <t>LT</t>
        </is>
      </c>
      <c r="D487" s="19" t="n">
        <v>2200</v>
      </c>
      <c r="E487" s="21" t="n">
        <v>2373.56</v>
      </c>
      <c r="F487" s="20" t="n">
        <v>5221832</v>
      </c>
    </row>
    <row r="488">
      <c r="A488" s="22" t="n">
        <v>46295</v>
      </c>
      <c r="B488" t="inlineStr">
        <is>
          <t>GAMMA_BAL</t>
        </is>
      </c>
      <c r="C488" t="inlineStr">
        <is>
          <t>MARUTI</t>
        </is>
      </c>
      <c r="D488" s="19" t="n">
        <v>16700</v>
      </c>
      <c r="E488" s="21" t="n">
        <v>1715.0105</v>
      </c>
      <c r="F488" s="20" t="n">
        <v>28640675.35</v>
      </c>
    </row>
    <row r="489">
      <c r="A489" s="22" t="n">
        <v>46295</v>
      </c>
      <c r="B489" t="inlineStr">
        <is>
          <t>GAMMA_BAL</t>
        </is>
      </c>
      <c r="C489" t="inlineStr">
        <is>
          <t>GOI7.26-36</t>
        </is>
      </c>
      <c r="D489" s="19" t="n">
        <v>370700</v>
      </c>
      <c r="E489" s="21" t="n">
        <v>102.883</v>
      </c>
      <c r="F489" s="20" t="n">
        <v>38138728.1</v>
      </c>
    </row>
    <row r="490">
      <c r="A490" s="22" t="n">
        <v>46295</v>
      </c>
      <c r="B490" t="inlineStr">
        <is>
          <t>GAMMA_BAL</t>
        </is>
      </c>
      <c r="C490" t="inlineStr">
        <is>
          <t>SDL-MH-32</t>
        </is>
      </c>
      <c r="D490" s="19" t="n">
        <v>216700</v>
      </c>
      <c r="E490" s="21" t="n">
        <v>102.7683</v>
      </c>
      <c r="F490" s="20" t="n">
        <v>22269890.61</v>
      </c>
    </row>
    <row r="491">
      <c r="A491" s="22" t="n">
        <v>46296</v>
      </c>
      <c r="B491" t="inlineStr">
        <is>
          <t>GAMMA_BAL</t>
        </is>
      </c>
      <c r="C491" t="inlineStr">
        <is>
          <t>HDFCBANK</t>
        </is>
      </c>
      <c r="D491" s="19" t="n">
        <v>11500</v>
      </c>
      <c r="E491" s="21" t="n">
        <v>1737.6463</v>
      </c>
      <c r="F491" s="20" t="n">
        <v>19982932.45</v>
      </c>
    </row>
    <row r="492">
      <c r="A492" s="22" t="n">
        <v>46296</v>
      </c>
      <c r="B492" t="inlineStr">
        <is>
          <t>GAMMA_BAL</t>
        </is>
      </c>
      <c r="C492" t="inlineStr">
        <is>
          <t>INFY</t>
        </is>
      </c>
      <c r="D492" s="19" t="n">
        <v>2900</v>
      </c>
      <c r="E492" s="21" t="n">
        <v>1906.3929</v>
      </c>
      <c r="F492" s="20" t="n">
        <v>5528539.41</v>
      </c>
    </row>
    <row r="493">
      <c r="A493" s="22" t="n">
        <v>46296</v>
      </c>
      <c r="B493" t="inlineStr">
        <is>
          <t>GAMMA_BAL</t>
        </is>
      </c>
      <c r="C493" t="inlineStr">
        <is>
          <t>LT</t>
        </is>
      </c>
      <c r="D493" s="19" t="n">
        <v>1700</v>
      </c>
      <c r="E493" s="21" t="n">
        <v>2349.8762</v>
      </c>
      <c r="F493" s="20" t="n">
        <v>3994789.54</v>
      </c>
    </row>
    <row r="494">
      <c r="A494" s="22" t="n">
        <v>46296</v>
      </c>
      <c r="B494" t="inlineStr">
        <is>
          <t>GAMMA_BAL</t>
        </is>
      </c>
      <c r="C494" t="inlineStr">
        <is>
          <t>MARUTI</t>
        </is>
      </c>
      <c r="D494" s="19" t="n">
        <v>16700</v>
      </c>
      <c r="E494" s="21" t="n">
        <v>1701.3291</v>
      </c>
      <c r="F494" s="20" t="n">
        <v>28412195.97</v>
      </c>
    </row>
    <row r="495">
      <c r="A495" s="22" t="n">
        <v>46296</v>
      </c>
      <c r="B495" t="inlineStr">
        <is>
          <t>GAMMA_BAL</t>
        </is>
      </c>
      <c r="C495" t="inlineStr">
        <is>
          <t>GOI7.26-36</t>
        </is>
      </c>
      <c r="D495" s="19" t="n">
        <v>370700</v>
      </c>
      <c r="E495" s="21" t="n">
        <v>103.1482</v>
      </c>
      <c r="F495" s="20" t="n">
        <v>38237037.74</v>
      </c>
    </row>
    <row r="496">
      <c r="A496" s="22" t="n">
        <v>46296</v>
      </c>
      <c r="B496" t="inlineStr">
        <is>
          <t>GAMMA_BAL</t>
        </is>
      </c>
      <c r="C496" t="inlineStr">
        <is>
          <t>SDL-MH-32</t>
        </is>
      </c>
      <c r="D496" s="19" t="n">
        <v>216700</v>
      </c>
      <c r="E496" s="21" t="n">
        <v>103.3072</v>
      </c>
      <c r="F496" s="20" t="n">
        <v>22386670.24</v>
      </c>
    </row>
    <row r="497">
      <c r="A497" s="22" t="n">
        <v>46297</v>
      </c>
      <c r="B497" t="inlineStr">
        <is>
          <t>GAMMA_BAL</t>
        </is>
      </c>
      <c r="C497" t="inlineStr">
        <is>
          <t>HDFCBANK</t>
        </is>
      </c>
      <c r="D497" s="19" t="n">
        <v>11500</v>
      </c>
      <c r="E497" s="21" t="n">
        <v>1743.2376</v>
      </c>
      <c r="F497" s="20" t="n">
        <v>20047232.4</v>
      </c>
    </row>
    <row r="498">
      <c r="A498" s="22" t="n">
        <v>46297</v>
      </c>
      <c r="B498" t="inlineStr">
        <is>
          <t>GAMMA_BAL</t>
        </is>
      </c>
      <c r="C498" t="inlineStr">
        <is>
          <t>INFY</t>
        </is>
      </c>
      <c r="D498" s="19" t="n">
        <v>3900</v>
      </c>
      <c r="E498" s="21" t="n">
        <v>1877.4153</v>
      </c>
      <c r="F498" s="20" t="n">
        <v>7321919.67</v>
      </c>
    </row>
    <row r="499">
      <c r="A499" s="22" t="n">
        <v>46297</v>
      </c>
      <c r="B499" t="inlineStr">
        <is>
          <t>GAMMA_BAL</t>
        </is>
      </c>
      <c r="C499" t="inlineStr">
        <is>
          <t>LT</t>
        </is>
      </c>
      <c r="D499" s="19" t="n">
        <v>1700</v>
      </c>
      <c r="E499" s="21" t="n">
        <v>2326.1964</v>
      </c>
      <c r="F499" s="20" t="n">
        <v>3954533.88</v>
      </c>
    </row>
    <row r="500">
      <c r="A500" s="22" t="n">
        <v>46297</v>
      </c>
      <c r="B500" t="inlineStr">
        <is>
          <t>GAMMA_BAL</t>
        </is>
      </c>
      <c r="C500" t="inlineStr">
        <is>
          <t>MARUTI</t>
        </is>
      </c>
      <c r="D500" s="19" t="n">
        <v>19700</v>
      </c>
      <c r="E500" s="21" t="n">
        <v>1704.8447</v>
      </c>
      <c r="F500" s="20" t="n">
        <v>33585440.59</v>
      </c>
    </row>
    <row r="501">
      <c r="A501" s="22" t="n">
        <v>46297</v>
      </c>
      <c r="B501" t="inlineStr">
        <is>
          <t>GAMMA_BAL</t>
        </is>
      </c>
      <c r="C501" t="inlineStr">
        <is>
          <t>GOI7.26-36</t>
        </is>
      </c>
      <c r="D501" s="19" t="n">
        <v>370700</v>
      </c>
      <c r="E501" s="21" t="n">
        <v>102.761</v>
      </c>
      <c r="F501" s="20" t="n">
        <v>38093502.7</v>
      </c>
    </row>
    <row r="502">
      <c r="A502" s="22" t="n">
        <v>46297</v>
      </c>
      <c r="B502" t="inlineStr">
        <is>
          <t>GAMMA_BAL</t>
        </is>
      </c>
      <c r="C502" t="inlineStr">
        <is>
          <t>SDL-MH-32</t>
        </is>
      </c>
      <c r="D502" s="19" t="n">
        <v>215900</v>
      </c>
      <c r="E502" s="21" t="n">
        <v>103.7296</v>
      </c>
      <c r="F502" s="20" t="n">
        <v>22395220.64</v>
      </c>
    </row>
    <row r="503">
      <c r="A503" s="22" t="n">
        <v>46300</v>
      </c>
      <c r="B503" t="inlineStr">
        <is>
          <t>GAMMA_BAL</t>
        </is>
      </c>
      <c r="C503" t="inlineStr">
        <is>
          <t>HDFCBANK</t>
        </is>
      </c>
      <c r="D503" s="19" t="n">
        <v>11500</v>
      </c>
      <c r="E503" s="21" t="n">
        <v>1707.0177</v>
      </c>
      <c r="F503" s="20" t="n">
        <v>19630703.55</v>
      </c>
    </row>
    <row r="504">
      <c r="A504" s="22" t="n">
        <v>46300</v>
      </c>
      <c r="B504" t="inlineStr">
        <is>
          <t>GAMMA_BAL</t>
        </is>
      </c>
      <c r="C504" t="inlineStr">
        <is>
          <t>INFY</t>
        </is>
      </c>
      <c r="D504" s="19" t="n">
        <v>3900</v>
      </c>
      <c r="E504" s="21" t="n">
        <v>1942.6906</v>
      </c>
      <c r="F504" s="20" t="n">
        <v>7576493.34</v>
      </c>
    </row>
    <row r="505">
      <c r="A505" s="22" t="n">
        <v>46300</v>
      </c>
      <c r="B505" t="inlineStr">
        <is>
          <t>GAMMA_BAL</t>
        </is>
      </c>
      <c r="C505" t="inlineStr">
        <is>
          <t>LT</t>
        </is>
      </c>
      <c r="D505" s="19" t="n">
        <v>2200</v>
      </c>
      <c r="E505" s="21" t="n">
        <v>2304.7428</v>
      </c>
      <c r="F505" s="20" t="n">
        <v>5070434.16</v>
      </c>
    </row>
    <row r="506">
      <c r="A506" s="22" t="n">
        <v>46300</v>
      </c>
      <c r="B506" t="inlineStr">
        <is>
          <t>GAMMA_BAL</t>
        </is>
      </c>
      <c r="C506" t="inlineStr">
        <is>
          <t>MARUTI</t>
        </is>
      </c>
      <c r="D506" s="19" t="n">
        <v>19700</v>
      </c>
      <c r="E506" s="21" t="n">
        <v>1732.9594</v>
      </c>
      <c r="F506" s="20" t="n">
        <v>34139300.18</v>
      </c>
    </row>
    <row r="507">
      <c r="A507" s="22" t="n">
        <v>46300</v>
      </c>
      <c r="B507" t="inlineStr">
        <is>
          <t>GAMMA_BAL</t>
        </is>
      </c>
      <c r="C507" t="inlineStr">
        <is>
          <t>GOI7.26-36</t>
        </is>
      </c>
      <c r="D507" s="19" t="n">
        <v>370900</v>
      </c>
      <c r="E507" s="21" t="n">
        <v>103.1117</v>
      </c>
      <c r="F507" s="20" t="n">
        <v>38244129.53</v>
      </c>
    </row>
    <row r="508">
      <c r="A508" s="22" t="n">
        <v>46300</v>
      </c>
      <c r="B508" t="inlineStr">
        <is>
          <t>GAMMA_BAL</t>
        </is>
      </c>
      <c r="C508" t="inlineStr">
        <is>
          <t>SDL-MH-32</t>
        </is>
      </c>
      <c r="D508" s="19" t="n">
        <v>212900</v>
      </c>
      <c r="E508" s="21" t="n">
        <v>104.0976</v>
      </c>
      <c r="F508" s="20" t="n">
        <v>22162379.04</v>
      </c>
    </row>
    <row r="509">
      <c r="A509" s="22" t="n">
        <v>46301</v>
      </c>
      <c r="B509" t="inlineStr">
        <is>
          <t>GAMMA_BAL</t>
        </is>
      </c>
      <c r="C509" t="inlineStr">
        <is>
          <t>HDFCBANK</t>
        </is>
      </c>
      <c r="D509" s="19" t="n">
        <v>11500</v>
      </c>
      <c r="E509" s="21" t="n">
        <v>1722.5869</v>
      </c>
      <c r="F509" s="20" t="n">
        <v>19809749.35</v>
      </c>
    </row>
    <row r="510">
      <c r="A510" s="22" t="n">
        <v>46301</v>
      </c>
      <c r="B510" t="inlineStr">
        <is>
          <t>GAMMA_BAL</t>
        </is>
      </c>
      <c r="C510" t="inlineStr">
        <is>
          <t>INFY</t>
        </is>
      </c>
      <c r="D510" s="19" t="n">
        <v>3300</v>
      </c>
      <c r="E510" s="21" t="n">
        <v>1992.3485</v>
      </c>
      <c r="F510" s="20" t="n">
        <v>6574750.05</v>
      </c>
    </row>
    <row r="511">
      <c r="A511" s="22" t="n">
        <v>46301</v>
      </c>
      <c r="B511" t="inlineStr">
        <is>
          <t>GAMMA_BAL</t>
        </is>
      </c>
      <c r="C511" t="inlineStr">
        <is>
          <t>LT</t>
        </is>
      </c>
      <c r="D511" s="19" t="n">
        <v>2200</v>
      </c>
      <c r="E511" s="21" t="n">
        <v>2358.8666</v>
      </c>
      <c r="F511" s="20" t="n">
        <v>5189506.52</v>
      </c>
    </row>
    <row r="512">
      <c r="A512" s="22" t="n">
        <v>46301</v>
      </c>
      <c r="B512" t="inlineStr">
        <is>
          <t>GAMMA_BAL</t>
        </is>
      </c>
      <c r="C512" t="inlineStr">
        <is>
          <t>MARUTI</t>
        </is>
      </c>
      <c r="D512" s="19" t="n">
        <v>19700</v>
      </c>
      <c r="E512" s="21" t="n">
        <v>1736.0266</v>
      </c>
      <c r="F512" s="20" t="n">
        <v>34199724.02</v>
      </c>
    </row>
    <row r="513">
      <c r="A513" s="22" t="n">
        <v>46301</v>
      </c>
      <c r="B513" t="inlineStr">
        <is>
          <t>GAMMA_BAL</t>
        </is>
      </c>
      <c r="C513" t="inlineStr">
        <is>
          <t>GOI7.26-36</t>
        </is>
      </c>
      <c r="D513" s="19" t="n">
        <v>371900</v>
      </c>
      <c r="E513" s="21" t="n">
        <v>103.0036</v>
      </c>
      <c r="F513" s="20" t="n">
        <v>38307038.84</v>
      </c>
    </row>
    <row r="514">
      <c r="A514" s="22" t="n">
        <v>46301</v>
      </c>
      <c r="B514" t="inlineStr">
        <is>
          <t>GAMMA_BAL</t>
        </is>
      </c>
      <c r="C514" t="inlineStr">
        <is>
          <t>SDL-MH-32</t>
        </is>
      </c>
      <c r="D514" s="19" t="n">
        <v>212900</v>
      </c>
      <c r="E514" s="21" t="n">
        <v>104.457</v>
      </c>
      <c r="F514" s="20" t="n">
        <v>22238895.3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S9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5" customWidth="1" min="12" max="12"/>
    <col width="15" customWidth="1" min="13" max="13"/>
    <col width="15" customWidth="1" min="14" max="14"/>
    <col width="12" customWidth="1" min="15" max="15"/>
    <col width="12" customWidth="1" min="16" max="16"/>
    <col width="15" customWidth="1" min="17" max="17"/>
    <col width="10" customWidth="1" min="18" max="18"/>
    <col width="12" customWidth="1" min="19" max="19"/>
  </cols>
  <sheetData>
    <row r="1" ht="30" customHeight="1">
      <c r="A1" s="1" t="inlineStr">
        <is>
          <t>DAILY NAV CALCULATION (LIVE FORMULAS)</t>
        </is>
      </c>
    </row>
    <row r="2" ht="16" customHeight="1">
      <c r="A2" s="2" t="inlineStr">
        <is>
          <t>NAV = (Cash + HoldingsValue - AccruedLiab) / UnitsClose.  HoldingsValue is the engine EOD feed (Holdings_EOD x Price_Matrix).  Flows are allocated at T-1 application NAV.</t>
        </is>
      </c>
    </row>
    <row r="4">
      <c r="A4" s="17" t="inlineStr">
        <is>
          <t>nav_date</t>
        </is>
      </c>
      <c r="B4" s="17" t="inlineStr">
        <is>
          <t>fund_code</t>
        </is>
      </c>
      <c r="C4" s="17" t="inlineStr">
        <is>
          <t>fund_name</t>
        </is>
      </c>
      <c r="D4" s="17" t="inlineStr">
        <is>
          <t>units_open</t>
        </is>
      </c>
      <c r="E4" s="17" t="inlineStr">
        <is>
          <t>sub_units</t>
        </is>
      </c>
      <c r="F4" s="17" t="inlineStr">
        <is>
          <t>red_units</t>
        </is>
      </c>
      <c r="G4" s="17" t="inlineStr">
        <is>
          <t>units_close</t>
        </is>
      </c>
      <c r="H4" s="17" t="inlineStr">
        <is>
          <t>cash_open</t>
        </is>
      </c>
      <c r="I4" s="17" t="inlineStr">
        <is>
          <t>net_cash_flows</t>
        </is>
      </c>
      <c r="J4" s="17" t="inlineStr">
        <is>
          <t>fee_paid</t>
        </is>
      </c>
      <c r="K4" s="17" t="inlineStr">
        <is>
          <t>cash_close</t>
        </is>
      </c>
      <c r="L4" s="17" t="inlineStr">
        <is>
          <t>holdings_value</t>
        </is>
      </c>
      <c r="M4" s="17" t="inlineStr">
        <is>
          <t>total_assets</t>
        </is>
      </c>
      <c r="N4" s="17" t="inlineStr">
        <is>
          <t>prev_net_assets</t>
        </is>
      </c>
      <c r="O4" s="17" t="inlineStr">
        <is>
          <t>fee_accrual</t>
        </is>
      </c>
      <c r="P4" s="17" t="inlineStr">
        <is>
          <t>accrued_liab</t>
        </is>
      </c>
      <c r="Q4" s="17" t="inlineStr">
        <is>
          <t>net_assets</t>
        </is>
      </c>
      <c r="R4" s="17" t="inlineStr">
        <is>
          <t>nav</t>
        </is>
      </c>
      <c r="S4" s="17" t="inlineStr">
        <is>
          <t>daily_return_pct</t>
        </is>
      </c>
    </row>
    <row r="5">
      <c r="A5" s="22" t="n">
        <v>46260</v>
      </c>
      <c r="B5" t="inlineStr">
        <is>
          <t>ALPHA_EQ</t>
        </is>
      </c>
      <c r="C5">
        <f>VLOOKUP($B5,Funds!$A$5:$B$7,2,FALSE)</f>
        <v/>
      </c>
      <c r="D5" s="19">
        <f>VLOOKUP($B5,Funds!$A$5:$F$7,6,FALSE)</f>
        <v/>
      </c>
      <c r="E5" s="23">
        <f>SUMIFS(Transactions!$F:$F,Transactions!$C:$C,$B5,Transactions!$B:$B,$A5,Transactions!$D:$D,"SUBSCRIPTION")</f>
        <v/>
      </c>
      <c r="F5" s="23">
        <f>-SUMIFS(Transactions!$F:$F,Transactions!$C:$C,$B5,Transactions!$B:$B,$A5,Transactions!$D:$D,"REDEMPTION")</f>
        <v/>
      </c>
      <c r="G5" s="19">
        <f>D5+E5+F5</f>
        <v/>
      </c>
      <c r="H5" s="20">
        <f>VLOOKUP($B5,Funds!$A$5:$G$7,7,FALSE)</f>
        <v/>
      </c>
      <c r="I5" s="20">
        <f>SUMIFS(Transactions!$I:$I,Transactions!$C:$C,$B5,Transactions!$B:$B,$A5)</f>
        <v/>
      </c>
      <c r="J5" s="20">
        <f>IF($A5=EOMONTH($A5,0),O5,0)</f>
        <v/>
      </c>
      <c r="K5" s="20">
        <f>H5+I5-J5</f>
        <v/>
      </c>
      <c r="L5" s="20" t="n">
        <v>94808834.13</v>
      </c>
      <c r="M5" s="20">
        <f>K5+L5</f>
        <v/>
      </c>
      <c r="N5" s="20">
        <f>VLOOKUP($B5,Funds!$A$5:$E$7,5,FALSE)*VLOOKUP($B5,Funds!$A$5:$F$7,6,FALSE)</f>
        <v/>
      </c>
      <c r="O5" s="24">
        <f>N5*VLOOKUP($B5,Funds!$A$5:$D$7,4,FALSE)/36500</f>
        <v/>
      </c>
      <c r="P5" s="24">
        <f>O5-J5</f>
        <v/>
      </c>
      <c r="Q5" s="20">
        <f>M5-P5</f>
        <v/>
      </c>
      <c r="R5" s="18">
        <f>Q5/G5</f>
        <v/>
      </c>
      <c r="S5" s="28">
        <f>R5/VLOOKUP($B5,Funds!$A$5:$E$7,5,FALSE)-1</f>
        <v/>
      </c>
    </row>
    <row r="6">
      <c r="A6" s="22" t="n">
        <v>46261</v>
      </c>
      <c r="B6" t="inlineStr">
        <is>
          <t>ALPHA_EQ</t>
        </is>
      </c>
      <c r="C6">
        <f>VLOOKUP($B6,Funds!$A$5:$B$7,2,FALSE)</f>
        <v/>
      </c>
      <c r="D6" s="19">
        <f>G5</f>
        <v/>
      </c>
      <c r="E6" s="23">
        <f>SUMIFS(Transactions!$F:$F,Transactions!$C:$C,$B6,Transactions!$B:$B,$A6,Transactions!$D:$D,"SUBSCRIPTION")</f>
        <v/>
      </c>
      <c r="F6" s="23">
        <f>-SUMIFS(Transactions!$F:$F,Transactions!$C:$C,$B6,Transactions!$B:$B,$A6,Transactions!$D:$D,"REDEMPTION")</f>
        <v/>
      </c>
      <c r="G6" s="19">
        <f>D6+E6+F6</f>
        <v/>
      </c>
      <c r="H6" s="20">
        <f>K5</f>
        <v/>
      </c>
      <c r="I6" s="20">
        <f>SUMIFS(Transactions!$I:$I,Transactions!$C:$C,$B6,Transactions!$B:$B,$A6)</f>
        <v/>
      </c>
      <c r="J6" s="20">
        <f>IF($A6=EOMONTH($A6,0),P5+O6,0)</f>
        <v/>
      </c>
      <c r="K6" s="20">
        <f>H6+I6-J6</f>
        <v/>
      </c>
      <c r="L6" s="20" t="n">
        <v>81555856.52</v>
      </c>
      <c r="M6" s="20">
        <f>K6+L6</f>
        <v/>
      </c>
      <c r="N6" s="20">
        <f>Q5</f>
        <v/>
      </c>
      <c r="O6" s="24">
        <f>N6*VLOOKUP($B6,Funds!$A$5:$D$7,4,FALSE)/36500</f>
        <v/>
      </c>
      <c r="P6" s="24">
        <f>P5+O6-J6</f>
        <v/>
      </c>
      <c r="Q6" s="20">
        <f>M6-P6</f>
        <v/>
      </c>
      <c r="R6" s="18">
        <f>Q6/G6</f>
        <v/>
      </c>
      <c r="S6" s="28">
        <f>R6/R5-1</f>
        <v/>
      </c>
    </row>
    <row r="7">
      <c r="A7" s="22" t="n">
        <v>46262</v>
      </c>
      <c r="B7" t="inlineStr">
        <is>
          <t>ALPHA_EQ</t>
        </is>
      </c>
      <c r="C7">
        <f>VLOOKUP($B7,Funds!$A$5:$B$7,2,FALSE)</f>
        <v/>
      </c>
      <c r="D7" s="19">
        <f>G6</f>
        <v/>
      </c>
      <c r="E7" s="23">
        <f>SUMIFS(Transactions!$F:$F,Transactions!$C:$C,$B7,Transactions!$B:$B,$A7,Transactions!$D:$D,"SUBSCRIPTION")</f>
        <v/>
      </c>
      <c r="F7" s="23">
        <f>-SUMIFS(Transactions!$F:$F,Transactions!$C:$C,$B7,Transactions!$B:$B,$A7,Transactions!$D:$D,"REDEMPTION")</f>
        <v/>
      </c>
      <c r="G7" s="19">
        <f>D7+E7+F7</f>
        <v/>
      </c>
      <c r="H7" s="20">
        <f>K6</f>
        <v/>
      </c>
      <c r="I7" s="20">
        <f>SUMIFS(Transactions!$I:$I,Transactions!$C:$C,$B7,Transactions!$B:$B,$A7)</f>
        <v/>
      </c>
      <c r="J7" s="20">
        <f>IF($A7=EOMONTH($A7,0),P6+O7,0)</f>
        <v/>
      </c>
      <c r="K7" s="20">
        <f>H7+I7-J7</f>
        <v/>
      </c>
      <c r="L7" s="20" t="n">
        <v>81699725.06</v>
      </c>
      <c r="M7" s="20">
        <f>K7+L7</f>
        <v/>
      </c>
      <c r="N7" s="20">
        <f>Q6</f>
        <v/>
      </c>
      <c r="O7" s="24">
        <f>N7*VLOOKUP($B7,Funds!$A$5:$D$7,4,FALSE)/36500</f>
        <v/>
      </c>
      <c r="P7" s="24">
        <f>P6+O7-J7</f>
        <v/>
      </c>
      <c r="Q7" s="20">
        <f>M7-P7</f>
        <v/>
      </c>
      <c r="R7" s="18">
        <f>Q7/G7</f>
        <v/>
      </c>
      <c r="S7" s="28">
        <f>R7/R6-1</f>
        <v/>
      </c>
    </row>
    <row r="8">
      <c r="A8" s="22" t="n">
        <v>46265</v>
      </c>
      <c r="B8" t="inlineStr">
        <is>
          <t>ALPHA_EQ</t>
        </is>
      </c>
      <c r="C8">
        <f>VLOOKUP($B8,Funds!$A$5:$B$7,2,FALSE)</f>
        <v/>
      </c>
      <c r="D8" s="19">
        <f>G7</f>
        <v/>
      </c>
      <c r="E8" s="23">
        <f>SUMIFS(Transactions!$F:$F,Transactions!$C:$C,$B8,Transactions!$B:$B,$A8,Transactions!$D:$D,"SUBSCRIPTION")</f>
        <v/>
      </c>
      <c r="F8" s="23">
        <f>-SUMIFS(Transactions!$F:$F,Transactions!$C:$C,$B8,Transactions!$B:$B,$A8,Transactions!$D:$D,"REDEMPTION")</f>
        <v/>
      </c>
      <c r="G8" s="19">
        <f>D8+E8+F8</f>
        <v/>
      </c>
      <c r="H8" s="20">
        <f>K7</f>
        <v/>
      </c>
      <c r="I8" s="20">
        <f>SUMIFS(Transactions!$I:$I,Transactions!$C:$C,$B8,Transactions!$B:$B,$A8)</f>
        <v/>
      </c>
      <c r="J8" s="20">
        <f>IF($A8=EOMONTH($A8,0),P7+O8,0)</f>
        <v/>
      </c>
      <c r="K8" s="20">
        <f>H8+I8-J8</f>
        <v/>
      </c>
      <c r="L8" s="20" t="n">
        <v>90331207.8</v>
      </c>
      <c r="M8" s="20">
        <f>K8+L8</f>
        <v/>
      </c>
      <c r="N8" s="20">
        <f>Q7</f>
        <v/>
      </c>
      <c r="O8" s="24">
        <f>N8*VLOOKUP($B8,Funds!$A$5:$D$7,4,FALSE)/36500</f>
        <v/>
      </c>
      <c r="P8" s="24">
        <f>P7+O8-J8</f>
        <v/>
      </c>
      <c r="Q8" s="20">
        <f>M8-P8</f>
        <v/>
      </c>
      <c r="R8" s="18">
        <f>Q8/G8</f>
        <v/>
      </c>
      <c r="S8" s="28">
        <f>R8/R7-1</f>
        <v/>
      </c>
    </row>
    <row r="9">
      <c r="A9" s="22" t="n">
        <v>46266</v>
      </c>
      <c r="B9" t="inlineStr">
        <is>
          <t>ALPHA_EQ</t>
        </is>
      </c>
      <c r="C9">
        <f>VLOOKUP($B9,Funds!$A$5:$B$7,2,FALSE)</f>
        <v/>
      </c>
      <c r="D9" s="19">
        <f>G8</f>
        <v/>
      </c>
      <c r="E9" s="23">
        <f>SUMIFS(Transactions!$F:$F,Transactions!$C:$C,$B9,Transactions!$B:$B,$A9,Transactions!$D:$D,"SUBSCRIPTION")</f>
        <v/>
      </c>
      <c r="F9" s="23">
        <f>-SUMIFS(Transactions!$F:$F,Transactions!$C:$C,$B9,Transactions!$B:$B,$A9,Transactions!$D:$D,"REDEMPTION")</f>
        <v/>
      </c>
      <c r="G9" s="19">
        <f>D9+E9+F9</f>
        <v/>
      </c>
      <c r="H9" s="20">
        <f>K8</f>
        <v/>
      </c>
      <c r="I9" s="20">
        <f>SUMIFS(Transactions!$I:$I,Transactions!$C:$C,$B9,Transactions!$B:$B,$A9)</f>
        <v/>
      </c>
      <c r="J9" s="20">
        <f>IF($A9=EOMONTH($A9,0),P8+O9,0)</f>
        <v/>
      </c>
      <c r="K9" s="20">
        <f>H9+I9-J9</f>
        <v/>
      </c>
      <c r="L9" s="20" t="n">
        <v>89604090.93000001</v>
      </c>
      <c r="M9" s="20">
        <f>K9+L9</f>
        <v/>
      </c>
      <c r="N9" s="20">
        <f>Q8</f>
        <v/>
      </c>
      <c r="O9" s="24">
        <f>N9*VLOOKUP($B9,Funds!$A$5:$D$7,4,FALSE)/36500</f>
        <v/>
      </c>
      <c r="P9" s="24">
        <f>P8+O9-J9</f>
        <v/>
      </c>
      <c r="Q9" s="20">
        <f>M9-P9</f>
        <v/>
      </c>
      <c r="R9" s="18">
        <f>Q9/G9</f>
        <v/>
      </c>
      <c r="S9" s="28">
        <f>R9/R8-1</f>
        <v/>
      </c>
    </row>
    <row r="10">
      <c r="A10" s="22" t="n">
        <v>46267</v>
      </c>
      <c r="B10" t="inlineStr">
        <is>
          <t>ALPHA_EQ</t>
        </is>
      </c>
      <c r="C10">
        <f>VLOOKUP($B10,Funds!$A$5:$B$7,2,FALSE)</f>
        <v/>
      </c>
      <c r="D10" s="19">
        <f>G9</f>
        <v/>
      </c>
      <c r="E10" s="23">
        <f>SUMIFS(Transactions!$F:$F,Transactions!$C:$C,$B10,Transactions!$B:$B,$A10,Transactions!$D:$D,"SUBSCRIPTION")</f>
        <v/>
      </c>
      <c r="F10" s="23">
        <f>-SUMIFS(Transactions!$F:$F,Transactions!$C:$C,$B10,Transactions!$B:$B,$A10,Transactions!$D:$D,"REDEMPTION")</f>
        <v/>
      </c>
      <c r="G10" s="19">
        <f>D10+E10+F10</f>
        <v/>
      </c>
      <c r="H10" s="20">
        <f>K9</f>
        <v/>
      </c>
      <c r="I10" s="20">
        <f>SUMIFS(Transactions!$I:$I,Transactions!$C:$C,$B10,Transactions!$B:$B,$A10)</f>
        <v/>
      </c>
      <c r="J10" s="20">
        <f>IF($A10=EOMONTH($A10,0),P9+O10,0)</f>
        <v/>
      </c>
      <c r="K10" s="20">
        <f>H10+I10-J10</f>
        <v/>
      </c>
      <c r="L10" s="20" t="n">
        <v>96585937.29000001</v>
      </c>
      <c r="M10" s="20">
        <f>K10+L10</f>
        <v/>
      </c>
      <c r="N10" s="20">
        <f>Q9</f>
        <v/>
      </c>
      <c r="O10" s="24">
        <f>N10*VLOOKUP($B10,Funds!$A$5:$D$7,4,FALSE)/36500</f>
        <v/>
      </c>
      <c r="P10" s="24">
        <f>P9+O10-J10</f>
        <v/>
      </c>
      <c r="Q10" s="20">
        <f>M10-P10</f>
        <v/>
      </c>
      <c r="R10" s="18">
        <f>Q10/G10</f>
        <v/>
      </c>
      <c r="S10" s="28">
        <f>R10/R9-1</f>
        <v/>
      </c>
    </row>
    <row r="11">
      <c r="A11" s="22" t="n">
        <v>46268</v>
      </c>
      <c r="B11" t="inlineStr">
        <is>
          <t>ALPHA_EQ</t>
        </is>
      </c>
      <c r="C11">
        <f>VLOOKUP($B11,Funds!$A$5:$B$7,2,FALSE)</f>
        <v/>
      </c>
      <c r="D11" s="19">
        <f>G10</f>
        <v/>
      </c>
      <c r="E11" s="23">
        <f>SUMIFS(Transactions!$F:$F,Transactions!$C:$C,$B11,Transactions!$B:$B,$A11,Transactions!$D:$D,"SUBSCRIPTION")</f>
        <v/>
      </c>
      <c r="F11" s="23">
        <f>-SUMIFS(Transactions!$F:$F,Transactions!$C:$C,$B11,Transactions!$B:$B,$A11,Transactions!$D:$D,"REDEMPTION")</f>
        <v/>
      </c>
      <c r="G11" s="19">
        <f>D11+E11+F11</f>
        <v/>
      </c>
      <c r="H11" s="20">
        <f>K10</f>
        <v/>
      </c>
      <c r="I11" s="20">
        <f>SUMIFS(Transactions!$I:$I,Transactions!$C:$C,$B11,Transactions!$B:$B,$A11)</f>
        <v/>
      </c>
      <c r="J11" s="20">
        <f>IF($A11=EOMONTH($A11,0),P10+O11,0)</f>
        <v/>
      </c>
      <c r="K11" s="20">
        <f>H11+I11-J11</f>
        <v/>
      </c>
      <c r="L11" s="20" t="n">
        <v>98431012.91</v>
      </c>
      <c r="M11" s="20">
        <f>K11+L11</f>
        <v/>
      </c>
      <c r="N11" s="20">
        <f>Q10</f>
        <v/>
      </c>
      <c r="O11" s="24">
        <f>N11*VLOOKUP($B11,Funds!$A$5:$D$7,4,FALSE)/36500</f>
        <v/>
      </c>
      <c r="P11" s="24">
        <f>P10+O11-J11</f>
        <v/>
      </c>
      <c r="Q11" s="20">
        <f>M11-P11</f>
        <v/>
      </c>
      <c r="R11" s="18">
        <f>Q11/G11</f>
        <v/>
      </c>
      <c r="S11" s="28">
        <f>R11/R10-1</f>
        <v/>
      </c>
    </row>
    <row r="12">
      <c r="A12" s="22" t="n">
        <v>46269</v>
      </c>
      <c r="B12" t="inlineStr">
        <is>
          <t>ALPHA_EQ</t>
        </is>
      </c>
      <c r="C12">
        <f>VLOOKUP($B12,Funds!$A$5:$B$7,2,FALSE)</f>
        <v/>
      </c>
      <c r="D12" s="19">
        <f>G11</f>
        <v/>
      </c>
      <c r="E12" s="23">
        <f>SUMIFS(Transactions!$F:$F,Transactions!$C:$C,$B12,Transactions!$B:$B,$A12,Transactions!$D:$D,"SUBSCRIPTION")</f>
        <v/>
      </c>
      <c r="F12" s="23">
        <f>-SUMIFS(Transactions!$F:$F,Transactions!$C:$C,$B12,Transactions!$B:$B,$A12,Transactions!$D:$D,"REDEMPTION")</f>
        <v/>
      </c>
      <c r="G12" s="19">
        <f>D12+E12+F12</f>
        <v/>
      </c>
      <c r="H12" s="20">
        <f>K11</f>
        <v/>
      </c>
      <c r="I12" s="20">
        <f>SUMIFS(Transactions!$I:$I,Transactions!$C:$C,$B12,Transactions!$B:$B,$A12)</f>
        <v/>
      </c>
      <c r="J12" s="20">
        <f>IF($A12=EOMONTH($A12,0),P11+O12,0)</f>
        <v/>
      </c>
      <c r="K12" s="20">
        <f>H12+I12-J12</f>
        <v/>
      </c>
      <c r="L12" s="20" t="n">
        <v>106725178.8</v>
      </c>
      <c r="M12" s="20">
        <f>K12+L12</f>
        <v/>
      </c>
      <c r="N12" s="20">
        <f>Q11</f>
        <v/>
      </c>
      <c r="O12" s="24">
        <f>N12*VLOOKUP($B12,Funds!$A$5:$D$7,4,FALSE)/36500</f>
        <v/>
      </c>
      <c r="P12" s="24">
        <f>P11+O12-J12</f>
        <v/>
      </c>
      <c r="Q12" s="20">
        <f>M12-P12</f>
        <v/>
      </c>
      <c r="R12" s="18">
        <f>Q12/G12</f>
        <v/>
      </c>
      <c r="S12" s="28">
        <f>R12/R11-1</f>
        <v/>
      </c>
    </row>
    <row r="13">
      <c r="A13" s="22" t="n">
        <v>46272</v>
      </c>
      <c r="B13" t="inlineStr">
        <is>
          <t>ALPHA_EQ</t>
        </is>
      </c>
      <c r="C13">
        <f>VLOOKUP($B13,Funds!$A$5:$B$7,2,FALSE)</f>
        <v/>
      </c>
      <c r="D13" s="19">
        <f>G12</f>
        <v/>
      </c>
      <c r="E13" s="23">
        <f>SUMIFS(Transactions!$F:$F,Transactions!$C:$C,$B13,Transactions!$B:$B,$A13,Transactions!$D:$D,"SUBSCRIPTION")</f>
        <v/>
      </c>
      <c r="F13" s="23">
        <f>-SUMIFS(Transactions!$F:$F,Transactions!$C:$C,$B13,Transactions!$B:$B,$A13,Transactions!$D:$D,"REDEMPTION")</f>
        <v/>
      </c>
      <c r="G13" s="19">
        <f>D13+E13+F13</f>
        <v/>
      </c>
      <c r="H13" s="20">
        <f>K12</f>
        <v/>
      </c>
      <c r="I13" s="20">
        <f>SUMIFS(Transactions!$I:$I,Transactions!$C:$C,$B13,Transactions!$B:$B,$A13)</f>
        <v/>
      </c>
      <c r="J13" s="20">
        <f>IF($A13=EOMONTH($A13,0),P12+O13,0)</f>
        <v/>
      </c>
      <c r="K13" s="20">
        <f>H13+I13-J13</f>
        <v/>
      </c>
      <c r="L13" s="20" t="n">
        <v>92578405.65000001</v>
      </c>
      <c r="M13" s="20">
        <f>K13+L13</f>
        <v/>
      </c>
      <c r="N13" s="20">
        <f>Q12</f>
        <v/>
      </c>
      <c r="O13" s="24">
        <f>N13*VLOOKUP($B13,Funds!$A$5:$D$7,4,FALSE)/36500</f>
        <v/>
      </c>
      <c r="P13" s="24">
        <f>P12+O13-J13</f>
        <v/>
      </c>
      <c r="Q13" s="20">
        <f>M13-P13</f>
        <v/>
      </c>
      <c r="R13" s="18">
        <f>Q13/G13</f>
        <v/>
      </c>
      <c r="S13" s="28">
        <f>R13/R12-1</f>
        <v/>
      </c>
    </row>
    <row r="14">
      <c r="A14" s="22" t="n">
        <v>46273</v>
      </c>
      <c r="B14" t="inlineStr">
        <is>
          <t>ALPHA_EQ</t>
        </is>
      </c>
      <c r="C14">
        <f>VLOOKUP($B14,Funds!$A$5:$B$7,2,FALSE)</f>
        <v/>
      </c>
      <c r="D14" s="19">
        <f>G13</f>
        <v/>
      </c>
      <c r="E14" s="23">
        <f>SUMIFS(Transactions!$F:$F,Transactions!$C:$C,$B14,Transactions!$B:$B,$A14,Transactions!$D:$D,"SUBSCRIPTION")</f>
        <v/>
      </c>
      <c r="F14" s="23">
        <f>-SUMIFS(Transactions!$F:$F,Transactions!$C:$C,$B14,Transactions!$B:$B,$A14,Transactions!$D:$D,"REDEMPTION")</f>
        <v/>
      </c>
      <c r="G14" s="19">
        <f>D14+E14+F14</f>
        <v/>
      </c>
      <c r="H14" s="20">
        <f>K13</f>
        <v/>
      </c>
      <c r="I14" s="20">
        <f>SUMIFS(Transactions!$I:$I,Transactions!$C:$C,$B14,Transactions!$B:$B,$A14)</f>
        <v/>
      </c>
      <c r="J14" s="20">
        <f>IF($A14=EOMONTH($A14,0),P13+O14,0)</f>
        <v/>
      </c>
      <c r="K14" s="20">
        <f>H14+I14-J14</f>
        <v/>
      </c>
      <c r="L14" s="20" t="n">
        <v>94238690.29000001</v>
      </c>
      <c r="M14" s="20">
        <f>K14+L14</f>
        <v/>
      </c>
      <c r="N14" s="20">
        <f>Q13</f>
        <v/>
      </c>
      <c r="O14" s="24">
        <f>N14*VLOOKUP($B14,Funds!$A$5:$D$7,4,FALSE)/36500</f>
        <v/>
      </c>
      <c r="P14" s="24">
        <f>P13+O14-J14</f>
        <v/>
      </c>
      <c r="Q14" s="20">
        <f>M14-P14</f>
        <v/>
      </c>
      <c r="R14" s="18">
        <f>Q14/G14</f>
        <v/>
      </c>
      <c r="S14" s="28">
        <f>R14/R13-1</f>
        <v/>
      </c>
    </row>
    <row r="15">
      <c r="A15" s="22" t="n">
        <v>46274</v>
      </c>
      <c r="B15" t="inlineStr">
        <is>
          <t>ALPHA_EQ</t>
        </is>
      </c>
      <c r="C15">
        <f>VLOOKUP($B15,Funds!$A$5:$B$7,2,FALSE)</f>
        <v/>
      </c>
      <c r="D15" s="19">
        <f>G14</f>
        <v/>
      </c>
      <c r="E15" s="23">
        <f>SUMIFS(Transactions!$F:$F,Transactions!$C:$C,$B15,Transactions!$B:$B,$A15,Transactions!$D:$D,"SUBSCRIPTION")</f>
        <v/>
      </c>
      <c r="F15" s="23">
        <f>-SUMIFS(Transactions!$F:$F,Transactions!$C:$C,$B15,Transactions!$B:$B,$A15,Transactions!$D:$D,"REDEMPTION")</f>
        <v/>
      </c>
      <c r="G15" s="19">
        <f>D15+E15+F15</f>
        <v/>
      </c>
      <c r="H15" s="20">
        <f>K14</f>
        <v/>
      </c>
      <c r="I15" s="20">
        <f>SUMIFS(Transactions!$I:$I,Transactions!$C:$C,$B15,Transactions!$B:$B,$A15)</f>
        <v/>
      </c>
      <c r="J15" s="20">
        <f>IF($A15=EOMONTH($A15,0),P14+O15,0)</f>
        <v/>
      </c>
      <c r="K15" s="20">
        <f>H15+I15-J15</f>
        <v/>
      </c>
      <c r="L15" s="20" t="n">
        <v>92534922.26000001</v>
      </c>
      <c r="M15" s="20">
        <f>K15+L15</f>
        <v/>
      </c>
      <c r="N15" s="20">
        <f>Q14</f>
        <v/>
      </c>
      <c r="O15" s="24">
        <f>N15*VLOOKUP($B15,Funds!$A$5:$D$7,4,FALSE)/36500</f>
        <v/>
      </c>
      <c r="P15" s="24">
        <f>P14+O15-J15</f>
        <v/>
      </c>
      <c r="Q15" s="20">
        <f>M15-P15</f>
        <v/>
      </c>
      <c r="R15" s="18">
        <f>Q15/G15</f>
        <v/>
      </c>
      <c r="S15" s="28">
        <f>R15/R14-1</f>
        <v/>
      </c>
    </row>
    <row r="16">
      <c r="A16" s="22" t="n">
        <v>46275</v>
      </c>
      <c r="B16" t="inlineStr">
        <is>
          <t>ALPHA_EQ</t>
        </is>
      </c>
      <c r="C16">
        <f>VLOOKUP($B16,Funds!$A$5:$B$7,2,FALSE)</f>
        <v/>
      </c>
      <c r="D16" s="19">
        <f>G15</f>
        <v/>
      </c>
      <c r="E16" s="23">
        <f>SUMIFS(Transactions!$F:$F,Transactions!$C:$C,$B16,Transactions!$B:$B,$A16,Transactions!$D:$D,"SUBSCRIPTION")</f>
        <v/>
      </c>
      <c r="F16" s="23">
        <f>-SUMIFS(Transactions!$F:$F,Transactions!$C:$C,$B16,Transactions!$B:$B,$A16,Transactions!$D:$D,"REDEMPTION")</f>
        <v/>
      </c>
      <c r="G16" s="19">
        <f>D16+E16+F16</f>
        <v/>
      </c>
      <c r="H16" s="20">
        <f>K15</f>
        <v/>
      </c>
      <c r="I16" s="20">
        <f>SUMIFS(Transactions!$I:$I,Transactions!$C:$C,$B16,Transactions!$B:$B,$A16)</f>
        <v/>
      </c>
      <c r="J16" s="20">
        <f>IF($A16=EOMONTH($A16,0),P15+O16,0)</f>
        <v/>
      </c>
      <c r="K16" s="20">
        <f>H16+I16-J16</f>
        <v/>
      </c>
      <c r="L16" s="20" t="n">
        <v>92967396.73</v>
      </c>
      <c r="M16" s="20">
        <f>K16+L16</f>
        <v/>
      </c>
      <c r="N16" s="20">
        <f>Q15</f>
        <v/>
      </c>
      <c r="O16" s="24">
        <f>N16*VLOOKUP($B16,Funds!$A$5:$D$7,4,FALSE)/36500</f>
        <v/>
      </c>
      <c r="P16" s="24">
        <f>P15+O16-J16</f>
        <v/>
      </c>
      <c r="Q16" s="20">
        <f>M16-P16</f>
        <v/>
      </c>
      <c r="R16" s="18">
        <f>Q16/G16</f>
        <v/>
      </c>
      <c r="S16" s="28">
        <f>R16/R15-1</f>
        <v/>
      </c>
    </row>
    <row r="17">
      <c r="A17" s="22" t="n">
        <v>46276</v>
      </c>
      <c r="B17" t="inlineStr">
        <is>
          <t>ALPHA_EQ</t>
        </is>
      </c>
      <c r="C17">
        <f>VLOOKUP($B17,Funds!$A$5:$B$7,2,FALSE)</f>
        <v/>
      </c>
      <c r="D17" s="19">
        <f>G16</f>
        <v/>
      </c>
      <c r="E17" s="23">
        <f>SUMIFS(Transactions!$F:$F,Transactions!$C:$C,$B17,Transactions!$B:$B,$A17,Transactions!$D:$D,"SUBSCRIPTION")</f>
        <v/>
      </c>
      <c r="F17" s="23">
        <f>-SUMIFS(Transactions!$F:$F,Transactions!$C:$C,$B17,Transactions!$B:$B,$A17,Transactions!$D:$D,"REDEMPTION")</f>
        <v/>
      </c>
      <c r="G17" s="19">
        <f>D17+E17+F17</f>
        <v/>
      </c>
      <c r="H17" s="20">
        <f>K16</f>
        <v/>
      </c>
      <c r="I17" s="20">
        <f>SUMIFS(Transactions!$I:$I,Transactions!$C:$C,$B17,Transactions!$B:$B,$A17)</f>
        <v/>
      </c>
      <c r="J17" s="20">
        <f>IF($A17=EOMONTH($A17,0),P16+O17,0)</f>
        <v/>
      </c>
      <c r="K17" s="20">
        <f>H17+I17-J17</f>
        <v/>
      </c>
      <c r="L17" s="20" t="n">
        <v>89834854.05</v>
      </c>
      <c r="M17" s="20">
        <f>K17+L17</f>
        <v/>
      </c>
      <c r="N17" s="20">
        <f>Q16</f>
        <v/>
      </c>
      <c r="O17" s="24">
        <f>N17*VLOOKUP($B17,Funds!$A$5:$D$7,4,FALSE)/36500</f>
        <v/>
      </c>
      <c r="P17" s="24">
        <f>P16+O17-J17</f>
        <v/>
      </c>
      <c r="Q17" s="20">
        <f>M17-P17</f>
        <v/>
      </c>
      <c r="R17" s="18">
        <f>Q17/G17</f>
        <v/>
      </c>
      <c r="S17" s="28">
        <f>R17/R16-1</f>
        <v/>
      </c>
    </row>
    <row r="18">
      <c r="A18" s="22" t="n">
        <v>46279</v>
      </c>
      <c r="B18" t="inlineStr">
        <is>
          <t>ALPHA_EQ</t>
        </is>
      </c>
      <c r="C18">
        <f>VLOOKUP($B18,Funds!$A$5:$B$7,2,FALSE)</f>
        <v/>
      </c>
      <c r="D18" s="19">
        <f>G17</f>
        <v/>
      </c>
      <c r="E18" s="23">
        <f>SUMIFS(Transactions!$F:$F,Transactions!$C:$C,$B18,Transactions!$B:$B,$A18,Transactions!$D:$D,"SUBSCRIPTION")</f>
        <v/>
      </c>
      <c r="F18" s="23">
        <f>-SUMIFS(Transactions!$F:$F,Transactions!$C:$C,$B18,Transactions!$B:$B,$A18,Transactions!$D:$D,"REDEMPTION")</f>
        <v/>
      </c>
      <c r="G18" s="19">
        <f>D18+E18+F18</f>
        <v/>
      </c>
      <c r="H18" s="20">
        <f>K17</f>
        <v/>
      </c>
      <c r="I18" s="20">
        <f>SUMIFS(Transactions!$I:$I,Transactions!$C:$C,$B18,Transactions!$B:$B,$A18)</f>
        <v/>
      </c>
      <c r="J18" s="20">
        <f>IF($A18=EOMONTH($A18,0),P17+O18,0)</f>
        <v/>
      </c>
      <c r="K18" s="20">
        <f>H18+I18-J18</f>
        <v/>
      </c>
      <c r="L18" s="20" t="n">
        <v>91633445.40000001</v>
      </c>
      <c r="M18" s="20">
        <f>K18+L18</f>
        <v/>
      </c>
      <c r="N18" s="20">
        <f>Q17</f>
        <v/>
      </c>
      <c r="O18" s="24">
        <f>N18*VLOOKUP($B18,Funds!$A$5:$D$7,4,FALSE)/36500</f>
        <v/>
      </c>
      <c r="P18" s="24">
        <f>P17+O18-J18</f>
        <v/>
      </c>
      <c r="Q18" s="20">
        <f>M18-P18</f>
        <v/>
      </c>
      <c r="R18" s="18">
        <f>Q18/G18</f>
        <v/>
      </c>
      <c r="S18" s="28">
        <f>R18/R17-1</f>
        <v/>
      </c>
    </row>
    <row r="19">
      <c r="A19" s="22" t="n">
        <v>46280</v>
      </c>
      <c r="B19" t="inlineStr">
        <is>
          <t>ALPHA_EQ</t>
        </is>
      </c>
      <c r="C19">
        <f>VLOOKUP($B19,Funds!$A$5:$B$7,2,FALSE)</f>
        <v/>
      </c>
      <c r="D19" s="19">
        <f>G18</f>
        <v/>
      </c>
      <c r="E19" s="23">
        <f>SUMIFS(Transactions!$F:$F,Transactions!$C:$C,$B19,Transactions!$B:$B,$A19,Transactions!$D:$D,"SUBSCRIPTION")</f>
        <v/>
      </c>
      <c r="F19" s="23">
        <f>-SUMIFS(Transactions!$F:$F,Transactions!$C:$C,$B19,Transactions!$B:$B,$A19,Transactions!$D:$D,"REDEMPTION")</f>
        <v/>
      </c>
      <c r="G19" s="19">
        <f>D19+E19+F19</f>
        <v/>
      </c>
      <c r="H19" s="20">
        <f>K18</f>
        <v/>
      </c>
      <c r="I19" s="20">
        <f>SUMIFS(Transactions!$I:$I,Transactions!$C:$C,$B19,Transactions!$B:$B,$A19)</f>
        <v/>
      </c>
      <c r="J19" s="20">
        <f>IF($A19=EOMONTH($A19,0),P18+O19,0)</f>
        <v/>
      </c>
      <c r="K19" s="20">
        <f>H19+I19-J19</f>
        <v/>
      </c>
      <c r="L19" s="20" t="n">
        <v>116369696.27</v>
      </c>
      <c r="M19" s="20">
        <f>K19+L19</f>
        <v/>
      </c>
      <c r="N19" s="20">
        <f>Q18</f>
        <v/>
      </c>
      <c r="O19" s="24">
        <f>N19*VLOOKUP($B19,Funds!$A$5:$D$7,4,FALSE)/36500</f>
        <v/>
      </c>
      <c r="P19" s="24">
        <f>P18+O19-J19</f>
        <v/>
      </c>
      <c r="Q19" s="20">
        <f>M19-P19</f>
        <v/>
      </c>
      <c r="R19" s="18">
        <f>Q19/G19</f>
        <v/>
      </c>
      <c r="S19" s="28">
        <f>R19/R18-1</f>
        <v/>
      </c>
    </row>
    <row r="20">
      <c r="A20" s="22" t="n">
        <v>46281</v>
      </c>
      <c r="B20" t="inlineStr">
        <is>
          <t>ALPHA_EQ</t>
        </is>
      </c>
      <c r="C20">
        <f>VLOOKUP($B20,Funds!$A$5:$B$7,2,FALSE)</f>
        <v/>
      </c>
      <c r="D20" s="19">
        <f>G19</f>
        <v/>
      </c>
      <c r="E20" s="23">
        <f>SUMIFS(Transactions!$F:$F,Transactions!$C:$C,$B20,Transactions!$B:$B,$A20,Transactions!$D:$D,"SUBSCRIPTION")</f>
        <v/>
      </c>
      <c r="F20" s="23">
        <f>-SUMIFS(Transactions!$F:$F,Transactions!$C:$C,$B20,Transactions!$B:$B,$A20,Transactions!$D:$D,"REDEMPTION")</f>
        <v/>
      </c>
      <c r="G20" s="19">
        <f>D20+E20+F20</f>
        <v/>
      </c>
      <c r="H20" s="20">
        <f>K19</f>
        <v/>
      </c>
      <c r="I20" s="20">
        <f>SUMIFS(Transactions!$I:$I,Transactions!$C:$C,$B20,Transactions!$B:$B,$A20)</f>
        <v/>
      </c>
      <c r="J20" s="20">
        <f>IF($A20=EOMONTH($A20,0),P19+O20,0)</f>
        <v/>
      </c>
      <c r="K20" s="20">
        <f>H20+I20-J20</f>
        <v/>
      </c>
      <c r="L20" s="20" t="n">
        <v>112244613.84</v>
      </c>
      <c r="M20" s="20">
        <f>K20+L20</f>
        <v/>
      </c>
      <c r="N20" s="20">
        <f>Q19</f>
        <v/>
      </c>
      <c r="O20" s="24">
        <f>N20*VLOOKUP($B20,Funds!$A$5:$D$7,4,FALSE)/36500</f>
        <v/>
      </c>
      <c r="P20" s="24">
        <f>P19+O20-J20</f>
        <v/>
      </c>
      <c r="Q20" s="20">
        <f>M20-P20</f>
        <v/>
      </c>
      <c r="R20" s="18">
        <f>Q20/G20</f>
        <v/>
      </c>
      <c r="S20" s="28">
        <f>R20/R19-1</f>
        <v/>
      </c>
    </row>
    <row r="21">
      <c r="A21" s="22" t="n">
        <v>46282</v>
      </c>
      <c r="B21" t="inlineStr">
        <is>
          <t>ALPHA_EQ</t>
        </is>
      </c>
      <c r="C21">
        <f>VLOOKUP($B21,Funds!$A$5:$B$7,2,FALSE)</f>
        <v/>
      </c>
      <c r="D21" s="19">
        <f>G20</f>
        <v/>
      </c>
      <c r="E21" s="23">
        <f>SUMIFS(Transactions!$F:$F,Transactions!$C:$C,$B21,Transactions!$B:$B,$A21,Transactions!$D:$D,"SUBSCRIPTION")</f>
        <v/>
      </c>
      <c r="F21" s="23">
        <f>-SUMIFS(Transactions!$F:$F,Transactions!$C:$C,$B21,Transactions!$B:$B,$A21,Transactions!$D:$D,"REDEMPTION")</f>
        <v/>
      </c>
      <c r="G21" s="19">
        <f>D21+E21+F21</f>
        <v/>
      </c>
      <c r="H21" s="20">
        <f>K20</f>
        <v/>
      </c>
      <c r="I21" s="20">
        <f>SUMIFS(Transactions!$I:$I,Transactions!$C:$C,$B21,Transactions!$B:$B,$A21)</f>
        <v/>
      </c>
      <c r="J21" s="20">
        <f>IF($A21=EOMONTH($A21,0),P20+O21,0)</f>
        <v/>
      </c>
      <c r="K21" s="20">
        <f>H21+I21-J21</f>
        <v/>
      </c>
      <c r="L21" s="20" t="n">
        <v>114644831.83</v>
      </c>
      <c r="M21" s="20">
        <f>K21+L21</f>
        <v/>
      </c>
      <c r="N21" s="20">
        <f>Q20</f>
        <v/>
      </c>
      <c r="O21" s="24">
        <f>N21*VLOOKUP($B21,Funds!$A$5:$D$7,4,FALSE)/36500</f>
        <v/>
      </c>
      <c r="P21" s="24">
        <f>P20+O21-J21</f>
        <v/>
      </c>
      <c r="Q21" s="20">
        <f>M21-P21</f>
        <v/>
      </c>
      <c r="R21" s="18">
        <f>Q21/G21</f>
        <v/>
      </c>
      <c r="S21" s="28">
        <f>R21/R20-1</f>
        <v/>
      </c>
    </row>
    <row r="22">
      <c r="A22" s="22" t="n">
        <v>46283</v>
      </c>
      <c r="B22" t="inlineStr">
        <is>
          <t>ALPHA_EQ</t>
        </is>
      </c>
      <c r="C22">
        <f>VLOOKUP($B22,Funds!$A$5:$B$7,2,FALSE)</f>
        <v/>
      </c>
      <c r="D22" s="19">
        <f>G21</f>
        <v/>
      </c>
      <c r="E22" s="23">
        <f>SUMIFS(Transactions!$F:$F,Transactions!$C:$C,$B22,Transactions!$B:$B,$A22,Transactions!$D:$D,"SUBSCRIPTION")</f>
        <v/>
      </c>
      <c r="F22" s="23">
        <f>-SUMIFS(Transactions!$F:$F,Transactions!$C:$C,$B22,Transactions!$B:$B,$A22,Transactions!$D:$D,"REDEMPTION")</f>
        <v/>
      </c>
      <c r="G22" s="19">
        <f>D22+E22+F22</f>
        <v/>
      </c>
      <c r="H22" s="20">
        <f>K21</f>
        <v/>
      </c>
      <c r="I22" s="20">
        <f>SUMIFS(Transactions!$I:$I,Transactions!$C:$C,$B22,Transactions!$B:$B,$A22)</f>
        <v/>
      </c>
      <c r="J22" s="20">
        <f>IF($A22=EOMONTH($A22,0),P21+O22,0)</f>
        <v/>
      </c>
      <c r="K22" s="20">
        <f>H22+I22-J22</f>
        <v/>
      </c>
      <c r="L22" s="20" t="n">
        <v>105859698.46</v>
      </c>
      <c r="M22" s="20">
        <f>K22+L22</f>
        <v/>
      </c>
      <c r="N22" s="20">
        <f>Q21</f>
        <v/>
      </c>
      <c r="O22" s="24">
        <f>N22*VLOOKUP($B22,Funds!$A$5:$D$7,4,FALSE)/36500</f>
        <v/>
      </c>
      <c r="P22" s="24">
        <f>P21+O22-J22</f>
        <v/>
      </c>
      <c r="Q22" s="20">
        <f>M22-P22</f>
        <v/>
      </c>
      <c r="R22" s="18">
        <f>Q22/G22</f>
        <v/>
      </c>
      <c r="S22" s="28">
        <f>R22/R21-1</f>
        <v/>
      </c>
    </row>
    <row r="23">
      <c r="A23" s="22" t="n">
        <v>46286</v>
      </c>
      <c r="B23" t="inlineStr">
        <is>
          <t>ALPHA_EQ</t>
        </is>
      </c>
      <c r="C23">
        <f>VLOOKUP($B23,Funds!$A$5:$B$7,2,FALSE)</f>
        <v/>
      </c>
      <c r="D23" s="19">
        <f>G22</f>
        <v/>
      </c>
      <c r="E23" s="23">
        <f>SUMIFS(Transactions!$F:$F,Transactions!$C:$C,$B23,Transactions!$B:$B,$A23,Transactions!$D:$D,"SUBSCRIPTION")</f>
        <v/>
      </c>
      <c r="F23" s="23">
        <f>-SUMIFS(Transactions!$F:$F,Transactions!$C:$C,$B23,Transactions!$B:$B,$A23,Transactions!$D:$D,"REDEMPTION")</f>
        <v/>
      </c>
      <c r="G23" s="19">
        <f>D23+E23+F23</f>
        <v/>
      </c>
      <c r="H23" s="20">
        <f>K22</f>
        <v/>
      </c>
      <c r="I23" s="20">
        <f>SUMIFS(Transactions!$I:$I,Transactions!$C:$C,$B23,Transactions!$B:$B,$A23)</f>
        <v/>
      </c>
      <c r="J23" s="20">
        <f>IF($A23=EOMONTH($A23,0),P22+O23,0)</f>
        <v/>
      </c>
      <c r="K23" s="20">
        <f>H23+I23-J23</f>
        <v/>
      </c>
      <c r="L23" s="20" t="n">
        <v>104037366.41</v>
      </c>
      <c r="M23" s="20">
        <f>K23+L23</f>
        <v/>
      </c>
      <c r="N23" s="20">
        <f>Q22</f>
        <v/>
      </c>
      <c r="O23" s="24">
        <f>N23*VLOOKUP($B23,Funds!$A$5:$D$7,4,FALSE)/36500</f>
        <v/>
      </c>
      <c r="P23" s="24">
        <f>P22+O23-J23</f>
        <v/>
      </c>
      <c r="Q23" s="20">
        <f>M23-P23</f>
        <v/>
      </c>
      <c r="R23" s="18">
        <f>Q23/G23</f>
        <v/>
      </c>
      <c r="S23" s="28">
        <f>R23/R22-1</f>
        <v/>
      </c>
    </row>
    <row r="24">
      <c r="A24" s="22" t="n">
        <v>46287</v>
      </c>
      <c r="B24" t="inlineStr">
        <is>
          <t>ALPHA_EQ</t>
        </is>
      </c>
      <c r="C24">
        <f>VLOOKUP($B24,Funds!$A$5:$B$7,2,FALSE)</f>
        <v/>
      </c>
      <c r="D24" s="19">
        <f>G23</f>
        <v/>
      </c>
      <c r="E24" s="23">
        <f>SUMIFS(Transactions!$F:$F,Transactions!$C:$C,$B24,Transactions!$B:$B,$A24,Transactions!$D:$D,"SUBSCRIPTION")</f>
        <v/>
      </c>
      <c r="F24" s="23">
        <f>-SUMIFS(Transactions!$F:$F,Transactions!$C:$C,$B24,Transactions!$B:$B,$A24,Transactions!$D:$D,"REDEMPTION")</f>
        <v/>
      </c>
      <c r="G24" s="19">
        <f>D24+E24+F24</f>
        <v/>
      </c>
      <c r="H24" s="20">
        <f>K23</f>
        <v/>
      </c>
      <c r="I24" s="20">
        <f>SUMIFS(Transactions!$I:$I,Transactions!$C:$C,$B24,Transactions!$B:$B,$A24)</f>
        <v/>
      </c>
      <c r="J24" s="20">
        <f>IF($A24=EOMONTH($A24,0),P23+O24,0)</f>
        <v/>
      </c>
      <c r="K24" s="20">
        <f>H24+I24-J24</f>
        <v/>
      </c>
      <c r="L24" s="20" t="n">
        <v>106745812.3</v>
      </c>
      <c r="M24" s="20">
        <f>K24+L24</f>
        <v/>
      </c>
      <c r="N24" s="20">
        <f>Q23</f>
        <v/>
      </c>
      <c r="O24" s="24">
        <f>N24*VLOOKUP($B24,Funds!$A$5:$D$7,4,FALSE)/36500</f>
        <v/>
      </c>
      <c r="P24" s="24">
        <f>P23+O24-J24</f>
        <v/>
      </c>
      <c r="Q24" s="20">
        <f>M24-P24</f>
        <v/>
      </c>
      <c r="R24" s="18">
        <f>Q24/G24</f>
        <v/>
      </c>
      <c r="S24" s="28">
        <f>R24/R23-1</f>
        <v/>
      </c>
    </row>
    <row r="25">
      <c r="A25" s="22" t="n">
        <v>46288</v>
      </c>
      <c r="B25" t="inlineStr">
        <is>
          <t>ALPHA_EQ</t>
        </is>
      </c>
      <c r="C25">
        <f>VLOOKUP($B25,Funds!$A$5:$B$7,2,FALSE)</f>
        <v/>
      </c>
      <c r="D25" s="19">
        <f>G24</f>
        <v/>
      </c>
      <c r="E25" s="23">
        <f>SUMIFS(Transactions!$F:$F,Transactions!$C:$C,$B25,Transactions!$B:$B,$A25,Transactions!$D:$D,"SUBSCRIPTION")</f>
        <v/>
      </c>
      <c r="F25" s="23">
        <f>-SUMIFS(Transactions!$F:$F,Transactions!$C:$C,$B25,Transactions!$B:$B,$A25,Transactions!$D:$D,"REDEMPTION")</f>
        <v/>
      </c>
      <c r="G25" s="19">
        <f>D25+E25+F25</f>
        <v/>
      </c>
      <c r="H25" s="20">
        <f>K24</f>
        <v/>
      </c>
      <c r="I25" s="20">
        <f>SUMIFS(Transactions!$I:$I,Transactions!$C:$C,$B25,Transactions!$B:$B,$A25)</f>
        <v/>
      </c>
      <c r="J25" s="20">
        <f>IF($A25=EOMONTH($A25,0),P24+O25,0)</f>
        <v/>
      </c>
      <c r="K25" s="20">
        <f>H25+I25-J25</f>
        <v/>
      </c>
      <c r="L25" s="20" t="n">
        <v>102564354.53</v>
      </c>
      <c r="M25" s="20">
        <f>K25+L25</f>
        <v/>
      </c>
      <c r="N25" s="20">
        <f>Q24</f>
        <v/>
      </c>
      <c r="O25" s="24">
        <f>N25*VLOOKUP($B25,Funds!$A$5:$D$7,4,FALSE)/36500</f>
        <v/>
      </c>
      <c r="P25" s="24">
        <f>P24+O25-J25</f>
        <v/>
      </c>
      <c r="Q25" s="20">
        <f>M25-P25</f>
        <v/>
      </c>
      <c r="R25" s="18">
        <f>Q25/G25</f>
        <v/>
      </c>
      <c r="S25" s="28">
        <f>R25/R24-1</f>
        <v/>
      </c>
    </row>
    <row r="26">
      <c r="A26" s="22" t="n">
        <v>46289</v>
      </c>
      <c r="B26" t="inlineStr">
        <is>
          <t>ALPHA_EQ</t>
        </is>
      </c>
      <c r="C26">
        <f>VLOOKUP($B26,Funds!$A$5:$B$7,2,FALSE)</f>
        <v/>
      </c>
      <c r="D26" s="19">
        <f>G25</f>
        <v/>
      </c>
      <c r="E26" s="23">
        <f>SUMIFS(Transactions!$F:$F,Transactions!$C:$C,$B26,Transactions!$B:$B,$A26,Transactions!$D:$D,"SUBSCRIPTION")</f>
        <v/>
      </c>
      <c r="F26" s="23">
        <f>-SUMIFS(Transactions!$F:$F,Transactions!$C:$C,$B26,Transactions!$B:$B,$A26,Transactions!$D:$D,"REDEMPTION")</f>
        <v/>
      </c>
      <c r="G26" s="19">
        <f>D26+E26+F26</f>
        <v/>
      </c>
      <c r="H26" s="20">
        <f>K25</f>
        <v/>
      </c>
      <c r="I26" s="20">
        <f>SUMIFS(Transactions!$I:$I,Transactions!$C:$C,$B26,Transactions!$B:$B,$A26)</f>
        <v/>
      </c>
      <c r="J26" s="20">
        <f>IF($A26=EOMONTH($A26,0),P25+O26,0)</f>
        <v/>
      </c>
      <c r="K26" s="20">
        <f>H26+I26-J26</f>
        <v/>
      </c>
      <c r="L26" s="20" t="n">
        <v>102119804.81</v>
      </c>
      <c r="M26" s="20">
        <f>K26+L26</f>
        <v/>
      </c>
      <c r="N26" s="20">
        <f>Q25</f>
        <v/>
      </c>
      <c r="O26" s="24">
        <f>N26*VLOOKUP($B26,Funds!$A$5:$D$7,4,FALSE)/36500</f>
        <v/>
      </c>
      <c r="P26" s="24">
        <f>P25+O26-J26</f>
        <v/>
      </c>
      <c r="Q26" s="20">
        <f>M26-P26</f>
        <v/>
      </c>
      <c r="R26" s="18">
        <f>Q26/G26</f>
        <v/>
      </c>
      <c r="S26" s="28">
        <f>R26/R25-1</f>
        <v/>
      </c>
    </row>
    <row r="27">
      <c r="A27" s="22" t="n">
        <v>46290</v>
      </c>
      <c r="B27" t="inlineStr">
        <is>
          <t>ALPHA_EQ</t>
        </is>
      </c>
      <c r="C27">
        <f>VLOOKUP($B27,Funds!$A$5:$B$7,2,FALSE)</f>
        <v/>
      </c>
      <c r="D27" s="19">
        <f>G26</f>
        <v/>
      </c>
      <c r="E27" s="23">
        <f>SUMIFS(Transactions!$F:$F,Transactions!$C:$C,$B27,Transactions!$B:$B,$A27,Transactions!$D:$D,"SUBSCRIPTION")</f>
        <v/>
      </c>
      <c r="F27" s="23">
        <f>-SUMIFS(Transactions!$F:$F,Transactions!$C:$C,$B27,Transactions!$B:$B,$A27,Transactions!$D:$D,"REDEMPTION")</f>
        <v/>
      </c>
      <c r="G27" s="19">
        <f>D27+E27+F27</f>
        <v/>
      </c>
      <c r="H27" s="20">
        <f>K26</f>
        <v/>
      </c>
      <c r="I27" s="20">
        <f>SUMIFS(Transactions!$I:$I,Transactions!$C:$C,$B27,Transactions!$B:$B,$A27)</f>
        <v/>
      </c>
      <c r="J27" s="20">
        <f>IF($A27=EOMONTH($A27,0),P26+O27,0)</f>
        <v/>
      </c>
      <c r="K27" s="20">
        <f>H27+I27-J27</f>
        <v/>
      </c>
      <c r="L27" s="20" t="n">
        <v>101174960.03</v>
      </c>
      <c r="M27" s="20">
        <f>K27+L27</f>
        <v/>
      </c>
      <c r="N27" s="20">
        <f>Q26</f>
        <v/>
      </c>
      <c r="O27" s="24">
        <f>N27*VLOOKUP($B27,Funds!$A$5:$D$7,4,FALSE)/36500</f>
        <v/>
      </c>
      <c r="P27" s="24">
        <f>P26+O27-J27</f>
        <v/>
      </c>
      <c r="Q27" s="20">
        <f>M27-P27</f>
        <v/>
      </c>
      <c r="R27" s="18">
        <f>Q27/G27</f>
        <v/>
      </c>
      <c r="S27" s="28">
        <f>R27/R26-1</f>
        <v/>
      </c>
    </row>
    <row r="28">
      <c r="A28" s="22" t="n">
        <v>46293</v>
      </c>
      <c r="B28" t="inlineStr">
        <is>
          <t>ALPHA_EQ</t>
        </is>
      </c>
      <c r="C28">
        <f>VLOOKUP($B28,Funds!$A$5:$B$7,2,FALSE)</f>
        <v/>
      </c>
      <c r="D28" s="19">
        <f>G27</f>
        <v/>
      </c>
      <c r="E28" s="23">
        <f>SUMIFS(Transactions!$F:$F,Transactions!$C:$C,$B28,Transactions!$B:$B,$A28,Transactions!$D:$D,"SUBSCRIPTION")</f>
        <v/>
      </c>
      <c r="F28" s="23">
        <f>-SUMIFS(Transactions!$F:$F,Transactions!$C:$C,$B28,Transactions!$B:$B,$A28,Transactions!$D:$D,"REDEMPTION")</f>
        <v/>
      </c>
      <c r="G28" s="19">
        <f>D28+E28+F28</f>
        <v/>
      </c>
      <c r="H28" s="20">
        <f>K27</f>
        <v/>
      </c>
      <c r="I28" s="20">
        <f>SUMIFS(Transactions!$I:$I,Transactions!$C:$C,$B28,Transactions!$B:$B,$A28)</f>
        <v/>
      </c>
      <c r="J28" s="20">
        <f>IF($A28=EOMONTH($A28,0),P27+O28,0)</f>
        <v/>
      </c>
      <c r="K28" s="20">
        <f>H28+I28-J28</f>
        <v/>
      </c>
      <c r="L28" s="20" t="n">
        <v>92630739.27</v>
      </c>
      <c r="M28" s="20">
        <f>K28+L28</f>
        <v/>
      </c>
      <c r="N28" s="20">
        <f>Q27</f>
        <v/>
      </c>
      <c r="O28" s="24">
        <f>N28*VLOOKUP($B28,Funds!$A$5:$D$7,4,FALSE)/36500</f>
        <v/>
      </c>
      <c r="P28" s="24">
        <f>P27+O28-J28</f>
        <v/>
      </c>
      <c r="Q28" s="20">
        <f>M28-P28</f>
        <v/>
      </c>
      <c r="R28" s="18">
        <f>Q28/G28</f>
        <v/>
      </c>
      <c r="S28" s="28">
        <f>R28/R27-1</f>
        <v/>
      </c>
    </row>
    <row r="29">
      <c r="A29" s="22" t="n">
        <v>46294</v>
      </c>
      <c r="B29" t="inlineStr">
        <is>
          <t>ALPHA_EQ</t>
        </is>
      </c>
      <c r="C29">
        <f>VLOOKUP($B29,Funds!$A$5:$B$7,2,FALSE)</f>
        <v/>
      </c>
      <c r="D29" s="19">
        <f>G28</f>
        <v/>
      </c>
      <c r="E29" s="23">
        <f>SUMIFS(Transactions!$F:$F,Transactions!$C:$C,$B29,Transactions!$B:$B,$A29,Transactions!$D:$D,"SUBSCRIPTION")</f>
        <v/>
      </c>
      <c r="F29" s="23">
        <f>-SUMIFS(Transactions!$F:$F,Transactions!$C:$C,$B29,Transactions!$B:$B,$A29,Transactions!$D:$D,"REDEMPTION")</f>
        <v/>
      </c>
      <c r="G29" s="19">
        <f>D29+E29+F29</f>
        <v/>
      </c>
      <c r="H29" s="20">
        <f>K28</f>
        <v/>
      </c>
      <c r="I29" s="20">
        <f>SUMIFS(Transactions!$I:$I,Transactions!$C:$C,$B29,Transactions!$B:$B,$A29)</f>
        <v/>
      </c>
      <c r="J29" s="20">
        <f>IF($A29=EOMONTH($A29,0),P28+O29,0)</f>
        <v/>
      </c>
      <c r="K29" s="20">
        <f>H29+I29-J29</f>
        <v/>
      </c>
      <c r="L29" s="20" t="n">
        <v>79940664.37</v>
      </c>
      <c r="M29" s="20">
        <f>K29+L29</f>
        <v/>
      </c>
      <c r="N29" s="20">
        <f>Q28</f>
        <v/>
      </c>
      <c r="O29" s="24">
        <f>N29*VLOOKUP($B29,Funds!$A$5:$D$7,4,FALSE)/36500</f>
        <v/>
      </c>
      <c r="P29" s="24">
        <f>P28+O29-J29</f>
        <v/>
      </c>
      <c r="Q29" s="20">
        <f>M29-P29</f>
        <v/>
      </c>
      <c r="R29" s="18">
        <f>Q29/G29</f>
        <v/>
      </c>
      <c r="S29" s="28">
        <f>R29/R28-1</f>
        <v/>
      </c>
    </row>
    <row r="30">
      <c r="A30" s="22" t="n">
        <v>46295</v>
      </c>
      <c r="B30" t="inlineStr">
        <is>
          <t>ALPHA_EQ</t>
        </is>
      </c>
      <c r="C30">
        <f>VLOOKUP($B30,Funds!$A$5:$B$7,2,FALSE)</f>
        <v/>
      </c>
      <c r="D30" s="19">
        <f>G29</f>
        <v/>
      </c>
      <c r="E30" s="23">
        <f>SUMIFS(Transactions!$F:$F,Transactions!$C:$C,$B30,Transactions!$B:$B,$A30,Transactions!$D:$D,"SUBSCRIPTION")</f>
        <v/>
      </c>
      <c r="F30" s="23">
        <f>-SUMIFS(Transactions!$F:$F,Transactions!$C:$C,$B30,Transactions!$B:$B,$A30,Transactions!$D:$D,"REDEMPTION")</f>
        <v/>
      </c>
      <c r="G30" s="19">
        <f>D30+E30+F30</f>
        <v/>
      </c>
      <c r="H30" s="20">
        <f>K29</f>
        <v/>
      </c>
      <c r="I30" s="20">
        <f>SUMIFS(Transactions!$I:$I,Transactions!$C:$C,$B30,Transactions!$B:$B,$A30)</f>
        <v/>
      </c>
      <c r="J30" s="20">
        <f>IF($A30=EOMONTH($A30,0),P29+O30,0)</f>
        <v/>
      </c>
      <c r="K30" s="20">
        <f>H30+I30-J30</f>
        <v/>
      </c>
      <c r="L30" s="20" t="n">
        <v>81235705.14</v>
      </c>
      <c r="M30" s="20">
        <f>K30+L30</f>
        <v/>
      </c>
      <c r="N30" s="20">
        <f>Q29</f>
        <v/>
      </c>
      <c r="O30" s="24">
        <f>N30*VLOOKUP($B30,Funds!$A$5:$D$7,4,FALSE)/36500</f>
        <v/>
      </c>
      <c r="P30" s="24">
        <f>P29+O30-J30</f>
        <v/>
      </c>
      <c r="Q30" s="20">
        <f>M30-P30</f>
        <v/>
      </c>
      <c r="R30" s="18">
        <f>Q30/G30</f>
        <v/>
      </c>
      <c r="S30" s="28">
        <f>R30/R29-1</f>
        <v/>
      </c>
    </row>
    <row r="31">
      <c r="A31" s="22" t="n">
        <v>46296</v>
      </c>
      <c r="B31" t="inlineStr">
        <is>
          <t>ALPHA_EQ</t>
        </is>
      </c>
      <c r="C31">
        <f>VLOOKUP($B31,Funds!$A$5:$B$7,2,FALSE)</f>
        <v/>
      </c>
      <c r="D31" s="19">
        <f>G30</f>
        <v/>
      </c>
      <c r="E31" s="23">
        <f>SUMIFS(Transactions!$F:$F,Transactions!$C:$C,$B31,Transactions!$B:$B,$A31,Transactions!$D:$D,"SUBSCRIPTION")</f>
        <v/>
      </c>
      <c r="F31" s="23">
        <f>-SUMIFS(Transactions!$F:$F,Transactions!$C:$C,$B31,Transactions!$B:$B,$A31,Transactions!$D:$D,"REDEMPTION")</f>
        <v/>
      </c>
      <c r="G31" s="19">
        <f>D31+E31+F31</f>
        <v/>
      </c>
      <c r="H31" s="20">
        <f>K30</f>
        <v/>
      </c>
      <c r="I31" s="20">
        <f>SUMIFS(Transactions!$I:$I,Transactions!$C:$C,$B31,Transactions!$B:$B,$A31)</f>
        <v/>
      </c>
      <c r="J31" s="20">
        <f>IF($A31=EOMONTH($A31,0),P30+O31,0)</f>
        <v/>
      </c>
      <c r="K31" s="20">
        <f>H31+I31-J31</f>
        <v/>
      </c>
      <c r="L31" s="20" t="n">
        <v>88852654.25</v>
      </c>
      <c r="M31" s="20">
        <f>K31+L31</f>
        <v/>
      </c>
      <c r="N31" s="20">
        <f>Q30</f>
        <v/>
      </c>
      <c r="O31" s="24">
        <f>N31*VLOOKUP($B31,Funds!$A$5:$D$7,4,FALSE)/36500</f>
        <v/>
      </c>
      <c r="P31" s="24">
        <f>P30+O31-J31</f>
        <v/>
      </c>
      <c r="Q31" s="20">
        <f>M31-P31</f>
        <v/>
      </c>
      <c r="R31" s="18">
        <f>Q31/G31</f>
        <v/>
      </c>
      <c r="S31" s="28">
        <f>R31/R30-1</f>
        <v/>
      </c>
    </row>
    <row r="32">
      <c r="A32" s="22" t="n">
        <v>46297</v>
      </c>
      <c r="B32" t="inlineStr">
        <is>
          <t>ALPHA_EQ</t>
        </is>
      </c>
      <c r="C32">
        <f>VLOOKUP($B32,Funds!$A$5:$B$7,2,FALSE)</f>
        <v/>
      </c>
      <c r="D32" s="19">
        <f>G31</f>
        <v/>
      </c>
      <c r="E32" s="23">
        <f>SUMIFS(Transactions!$F:$F,Transactions!$C:$C,$B32,Transactions!$B:$B,$A32,Transactions!$D:$D,"SUBSCRIPTION")</f>
        <v/>
      </c>
      <c r="F32" s="23">
        <f>-SUMIFS(Transactions!$F:$F,Transactions!$C:$C,$B32,Transactions!$B:$B,$A32,Transactions!$D:$D,"REDEMPTION")</f>
        <v/>
      </c>
      <c r="G32" s="19">
        <f>D32+E32+F32</f>
        <v/>
      </c>
      <c r="H32" s="20">
        <f>K31</f>
        <v/>
      </c>
      <c r="I32" s="20">
        <f>SUMIFS(Transactions!$I:$I,Transactions!$C:$C,$B32,Transactions!$B:$B,$A32)</f>
        <v/>
      </c>
      <c r="J32" s="20">
        <f>IF($A32=EOMONTH($A32,0),P31+O32,0)</f>
        <v/>
      </c>
      <c r="K32" s="20">
        <f>H32+I32-J32</f>
        <v/>
      </c>
      <c r="L32" s="20" t="n">
        <v>93360909.81999999</v>
      </c>
      <c r="M32" s="20">
        <f>K32+L32</f>
        <v/>
      </c>
      <c r="N32" s="20">
        <f>Q31</f>
        <v/>
      </c>
      <c r="O32" s="24">
        <f>N32*VLOOKUP($B32,Funds!$A$5:$D$7,4,FALSE)/36500</f>
        <v/>
      </c>
      <c r="P32" s="24">
        <f>P31+O32-J32</f>
        <v/>
      </c>
      <c r="Q32" s="20">
        <f>M32-P32</f>
        <v/>
      </c>
      <c r="R32" s="18">
        <f>Q32/G32</f>
        <v/>
      </c>
      <c r="S32" s="28">
        <f>R32/R31-1</f>
        <v/>
      </c>
    </row>
    <row r="33">
      <c r="A33" s="22" t="n">
        <v>46300</v>
      </c>
      <c r="B33" t="inlineStr">
        <is>
          <t>ALPHA_EQ</t>
        </is>
      </c>
      <c r="C33">
        <f>VLOOKUP($B33,Funds!$A$5:$B$7,2,FALSE)</f>
        <v/>
      </c>
      <c r="D33" s="19">
        <f>G32</f>
        <v/>
      </c>
      <c r="E33" s="23">
        <f>SUMIFS(Transactions!$F:$F,Transactions!$C:$C,$B33,Transactions!$B:$B,$A33,Transactions!$D:$D,"SUBSCRIPTION")</f>
        <v/>
      </c>
      <c r="F33" s="23">
        <f>-SUMIFS(Transactions!$F:$F,Transactions!$C:$C,$B33,Transactions!$B:$B,$A33,Transactions!$D:$D,"REDEMPTION")</f>
        <v/>
      </c>
      <c r="G33" s="19">
        <f>D33+E33+F33</f>
        <v/>
      </c>
      <c r="H33" s="20">
        <f>K32</f>
        <v/>
      </c>
      <c r="I33" s="20">
        <f>SUMIFS(Transactions!$I:$I,Transactions!$C:$C,$B33,Transactions!$B:$B,$A33)</f>
        <v/>
      </c>
      <c r="J33" s="20">
        <f>IF($A33=EOMONTH($A33,0),P32+O33,0)</f>
        <v/>
      </c>
      <c r="K33" s="20">
        <f>H33+I33-J33</f>
        <v/>
      </c>
      <c r="L33" s="20" t="n">
        <v>97117109.55</v>
      </c>
      <c r="M33" s="20">
        <f>K33+L33</f>
        <v/>
      </c>
      <c r="N33" s="20">
        <f>Q32</f>
        <v/>
      </c>
      <c r="O33" s="24">
        <f>N33*VLOOKUP($B33,Funds!$A$5:$D$7,4,FALSE)/36500</f>
        <v/>
      </c>
      <c r="P33" s="24">
        <f>P32+O33-J33</f>
        <v/>
      </c>
      <c r="Q33" s="20">
        <f>M33-P33</f>
        <v/>
      </c>
      <c r="R33" s="18">
        <f>Q33/G33</f>
        <v/>
      </c>
      <c r="S33" s="28">
        <f>R33/R32-1</f>
        <v/>
      </c>
    </row>
    <row r="34">
      <c r="A34" s="22" t="n">
        <v>46301</v>
      </c>
      <c r="B34" t="inlineStr">
        <is>
          <t>ALPHA_EQ</t>
        </is>
      </c>
      <c r="C34">
        <f>VLOOKUP($B34,Funds!$A$5:$B$7,2,FALSE)</f>
        <v/>
      </c>
      <c r="D34" s="19">
        <f>G33</f>
        <v/>
      </c>
      <c r="E34" s="23">
        <f>SUMIFS(Transactions!$F:$F,Transactions!$C:$C,$B34,Transactions!$B:$B,$A34,Transactions!$D:$D,"SUBSCRIPTION")</f>
        <v/>
      </c>
      <c r="F34" s="23">
        <f>-SUMIFS(Transactions!$F:$F,Transactions!$C:$C,$B34,Transactions!$B:$B,$A34,Transactions!$D:$D,"REDEMPTION")</f>
        <v/>
      </c>
      <c r="G34" s="19">
        <f>D34+E34+F34</f>
        <v/>
      </c>
      <c r="H34" s="20">
        <f>K33</f>
        <v/>
      </c>
      <c r="I34" s="20">
        <f>SUMIFS(Transactions!$I:$I,Transactions!$C:$C,$B34,Transactions!$B:$B,$A34)</f>
        <v/>
      </c>
      <c r="J34" s="20">
        <f>IF($A34=EOMONTH($A34,0),P33+O34,0)</f>
        <v/>
      </c>
      <c r="K34" s="20">
        <f>H34+I34-J34</f>
        <v/>
      </c>
      <c r="L34" s="20" t="n">
        <v>101758370.47</v>
      </c>
      <c r="M34" s="20">
        <f>K34+L34</f>
        <v/>
      </c>
      <c r="N34" s="20">
        <f>Q33</f>
        <v/>
      </c>
      <c r="O34" s="24">
        <f>N34*VLOOKUP($B34,Funds!$A$5:$D$7,4,FALSE)/36500</f>
        <v/>
      </c>
      <c r="P34" s="24">
        <f>P33+O34-J34</f>
        <v/>
      </c>
      <c r="Q34" s="20">
        <f>M34-P34</f>
        <v/>
      </c>
      <c r="R34" s="18">
        <f>Q34/G34</f>
        <v/>
      </c>
      <c r="S34" s="28">
        <f>R34/R33-1</f>
        <v/>
      </c>
    </row>
    <row r="35">
      <c r="A35" s="22" t="n">
        <v>46260</v>
      </c>
      <c r="B35" t="inlineStr">
        <is>
          <t>BETA_DEBT</t>
        </is>
      </c>
      <c r="C35">
        <f>VLOOKUP($B35,Funds!$A$5:$B$7,2,FALSE)</f>
        <v/>
      </c>
      <c r="D35" s="19">
        <f>VLOOKUP($B35,Funds!$A$5:$F$7,6,FALSE)</f>
        <v/>
      </c>
      <c r="E35" s="23">
        <f>SUMIFS(Transactions!$F:$F,Transactions!$C:$C,$B35,Transactions!$B:$B,$A35,Transactions!$D:$D,"SUBSCRIPTION")</f>
        <v/>
      </c>
      <c r="F35" s="23">
        <f>-SUMIFS(Transactions!$F:$F,Transactions!$C:$C,$B35,Transactions!$B:$B,$A35,Transactions!$D:$D,"REDEMPTION")</f>
        <v/>
      </c>
      <c r="G35" s="19">
        <f>D35+E35+F35</f>
        <v/>
      </c>
      <c r="H35" s="20">
        <f>VLOOKUP($B35,Funds!$A$5:$G$7,7,FALSE)</f>
        <v/>
      </c>
      <c r="I35" s="20">
        <f>SUMIFS(Transactions!$I:$I,Transactions!$C:$C,$B35,Transactions!$B:$B,$A35)</f>
        <v/>
      </c>
      <c r="J35" s="20">
        <f>IF($A35=EOMONTH($A35,0),O35,0)</f>
        <v/>
      </c>
      <c r="K35" s="20">
        <f>H35+I35-J35</f>
        <v/>
      </c>
      <c r="L35" s="20" t="n">
        <v>190463108.73</v>
      </c>
      <c r="M35" s="20">
        <f>K35+L35</f>
        <v/>
      </c>
      <c r="N35" s="20">
        <f>VLOOKUP($B35,Funds!$A$5:$E$7,5,FALSE)*VLOOKUP($B35,Funds!$A$5:$F$7,6,FALSE)</f>
        <v/>
      </c>
      <c r="O35" s="24">
        <f>N35*VLOOKUP($B35,Funds!$A$5:$D$7,4,FALSE)/36500</f>
        <v/>
      </c>
      <c r="P35" s="24">
        <f>O35-J35</f>
        <v/>
      </c>
      <c r="Q35" s="20">
        <f>M35-P35</f>
        <v/>
      </c>
      <c r="R35" s="18">
        <f>Q35/G35</f>
        <v/>
      </c>
      <c r="S35" s="28">
        <f>R35/VLOOKUP($B35,Funds!$A$5:$E$7,5,FALSE)-1</f>
        <v/>
      </c>
    </row>
    <row r="36">
      <c r="A36" s="22" t="n">
        <v>46261</v>
      </c>
      <c r="B36" t="inlineStr">
        <is>
          <t>BETA_DEBT</t>
        </is>
      </c>
      <c r="C36">
        <f>VLOOKUP($B36,Funds!$A$5:$B$7,2,FALSE)</f>
        <v/>
      </c>
      <c r="D36" s="19">
        <f>G35</f>
        <v/>
      </c>
      <c r="E36" s="23">
        <f>SUMIFS(Transactions!$F:$F,Transactions!$C:$C,$B36,Transactions!$B:$B,$A36,Transactions!$D:$D,"SUBSCRIPTION")</f>
        <v/>
      </c>
      <c r="F36" s="23">
        <f>-SUMIFS(Transactions!$F:$F,Transactions!$C:$C,$B36,Transactions!$B:$B,$A36,Transactions!$D:$D,"REDEMPTION")</f>
        <v/>
      </c>
      <c r="G36" s="19">
        <f>D36+E36+F36</f>
        <v/>
      </c>
      <c r="H36" s="20">
        <f>K35</f>
        <v/>
      </c>
      <c r="I36" s="20">
        <f>SUMIFS(Transactions!$I:$I,Transactions!$C:$C,$B36,Transactions!$B:$B,$A36)</f>
        <v/>
      </c>
      <c r="J36" s="20">
        <f>IF($A36=EOMONTH($A36,0),P35+O36,0)</f>
        <v/>
      </c>
      <c r="K36" s="20">
        <f>H36+I36-J36</f>
        <v/>
      </c>
      <c r="L36" s="20" t="n">
        <v>190662241.95</v>
      </c>
      <c r="M36" s="20">
        <f>K36+L36</f>
        <v/>
      </c>
      <c r="N36" s="20">
        <f>Q35</f>
        <v/>
      </c>
      <c r="O36" s="24">
        <f>N36*VLOOKUP($B36,Funds!$A$5:$D$7,4,FALSE)/36500</f>
        <v/>
      </c>
      <c r="P36" s="24">
        <f>P35+O36-J36</f>
        <v/>
      </c>
      <c r="Q36" s="20">
        <f>M36-P36</f>
        <v/>
      </c>
      <c r="R36" s="18">
        <f>Q36/G36</f>
        <v/>
      </c>
      <c r="S36" s="28">
        <f>R36/R35-1</f>
        <v/>
      </c>
    </row>
    <row r="37">
      <c r="A37" s="22" t="n">
        <v>46262</v>
      </c>
      <c r="B37" t="inlineStr">
        <is>
          <t>BETA_DEBT</t>
        </is>
      </c>
      <c r="C37">
        <f>VLOOKUP($B37,Funds!$A$5:$B$7,2,FALSE)</f>
        <v/>
      </c>
      <c r="D37" s="19">
        <f>G36</f>
        <v/>
      </c>
      <c r="E37" s="23">
        <f>SUMIFS(Transactions!$F:$F,Transactions!$C:$C,$B37,Transactions!$B:$B,$A37,Transactions!$D:$D,"SUBSCRIPTION")</f>
        <v/>
      </c>
      <c r="F37" s="23">
        <f>-SUMIFS(Transactions!$F:$F,Transactions!$C:$C,$B37,Transactions!$B:$B,$A37,Transactions!$D:$D,"REDEMPTION")</f>
        <v/>
      </c>
      <c r="G37" s="19">
        <f>D37+E37+F37</f>
        <v/>
      </c>
      <c r="H37" s="20">
        <f>K36</f>
        <v/>
      </c>
      <c r="I37" s="20">
        <f>SUMIFS(Transactions!$I:$I,Transactions!$C:$C,$B37,Transactions!$B:$B,$A37)</f>
        <v/>
      </c>
      <c r="J37" s="20">
        <f>IF($A37=EOMONTH($A37,0),P36+O37,0)</f>
        <v/>
      </c>
      <c r="K37" s="20">
        <f>H37+I37-J37</f>
        <v/>
      </c>
      <c r="L37" s="20" t="n">
        <v>191000283.8</v>
      </c>
      <c r="M37" s="20">
        <f>K37+L37</f>
        <v/>
      </c>
      <c r="N37" s="20">
        <f>Q36</f>
        <v/>
      </c>
      <c r="O37" s="24">
        <f>N37*VLOOKUP($B37,Funds!$A$5:$D$7,4,FALSE)/36500</f>
        <v/>
      </c>
      <c r="P37" s="24">
        <f>P36+O37-J37</f>
        <v/>
      </c>
      <c r="Q37" s="20">
        <f>M37-P37</f>
        <v/>
      </c>
      <c r="R37" s="18">
        <f>Q37/G37</f>
        <v/>
      </c>
      <c r="S37" s="28">
        <f>R37/R36-1</f>
        <v/>
      </c>
    </row>
    <row r="38">
      <c r="A38" s="22" t="n">
        <v>46265</v>
      </c>
      <c r="B38" t="inlineStr">
        <is>
          <t>BETA_DEBT</t>
        </is>
      </c>
      <c r="C38">
        <f>VLOOKUP($B38,Funds!$A$5:$B$7,2,FALSE)</f>
        <v/>
      </c>
      <c r="D38" s="19">
        <f>G37</f>
        <v/>
      </c>
      <c r="E38" s="23">
        <f>SUMIFS(Transactions!$F:$F,Transactions!$C:$C,$B38,Transactions!$B:$B,$A38,Transactions!$D:$D,"SUBSCRIPTION")</f>
        <v/>
      </c>
      <c r="F38" s="23">
        <f>-SUMIFS(Transactions!$F:$F,Transactions!$C:$C,$B38,Transactions!$B:$B,$A38,Transactions!$D:$D,"REDEMPTION")</f>
        <v/>
      </c>
      <c r="G38" s="19">
        <f>D38+E38+F38</f>
        <v/>
      </c>
      <c r="H38" s="20">
        <f>K37</f>
        <v/>
      </c>
      <c r="I38" s="20">
        <f>SUMIFS(Transactions!$I:$I,Transactions!$C:$C,$B38,Transactions!$B:$B,$A38)</f>
        <v/>
      </c>
      <c r="J38" s="20">
        <f>IF($A38=EOMONTH($A38,0),P37+O38,0)</f>
        <v/>
      </c>
      <c r="K38" s="20">
        <f>H38+I38-J38</f>
        <v/>
      </c>
      <c r="L38" s="20" t="n">
        <v>194454434.04</v>
      </c>
      <c r="M38" s="20">
        <f>K38+L38</f>
        <v/>
      </c>
      <c r="N38" s="20">
        <f>Q37</f>
        <v/>
      </c>
      <c r="O38" s="24">
        <f>N38*VLOOKUP($B38,Funds!$A$5:$D$7,4,FALSE)/36500</f>
        <v/>
      </c>
      <c r="P38" s="24">
        <f>P37+O38-J38</f>
        <v/>
      </c>
      <c r="Q38" s="20">
        <f>M38-P38</f>
        <v/>
      </c>
      <c r="R38" s="18">
        <f>Q38/G38</f>
        <v/>
      </c>
      <c r="S38" s="28">
        <f>R38/R37-1</f>
        <v/>
      </c>
    </row>
    <row r="39">
      <c r="A39" s="22" t="n">
        <v>46266</v>
      </c>
      <c r="B39" t="inlineStr">
        <is>
          <t>BETA_DEBT</t>
        </is>
      </c>
      <c r="C39">
        <f>VLOOKUP($B39,Funds!$A$5:$B$7,2,FALSE)</f>
        <v/>
      </c>
      <c r="D39" s="19">
        <f>G38</f>
        <v/>
      </c>
      <c r="E39" s="23">
        <f>SUMIFS(Transactions!$F:$F,Transactions!$C:$C,$B39,Transactions!$B:$B,$A39,Transactions!$D:$D,"SUBSCRIPTION")</f>
        <v/>
      </c>
      <c r="F39" s="23">
        <f>-SUMIFS(Transactions!$F:$F,Transactions!$C:$C,$B39,Transactions!$B:$B,$A39,Transactions!$D:$D,"REDEMPTION")</f>
        <v/>
      </c>
      <c r="G39" s="19">
        <f>D39+E39+F39</f>
        <v/>
      </c>
      <c r="H39" s="20">
        <f>K38</f>
        <v/>
      </c>
      <c r="I39" s="20">
        <f>SUMIFS(Transactions!$I:$I,Transactions!$C:$C,$B39,Transactions!$B:$B,$A39)</f>
        <v/>
      </c>
      <c r="J39" s="20">
        <f>IF($A39=EOMONTH($A39,0),P38+O39,0)</f>
        <v/>
      </c>
      <c r="K39" s="20">
        <f>H39+I39-J39</f>
        <v/>
      </c>
      <c r="L39" s="20" t="n">
        <v>194162958.4</v>
      </c>
      <c r="M39" s="20">
        <f>K39+L39</f>
        <v/>
      </c>
      <c r="N39" s="20">
        <f>Q38</f>
        <v/>
      </c>
      <c r="O39" s="24">
        <f>N39*VLOOKUP($B39,Funds!$A$5:$D$7,4,FALSE)/36500</f>
        <v/>
      </c>
      <c r="P39" s="24">
        <f>P38+O39-J39</f>
        <v/>
      </c>
      <c r="Q39" s="20">
        <f>M39-P39</f>
        <v/>
      </c>
      <c r="R39" s="18">
        <f>Q39/G39</f>
        <v/>
      </c>
      <c r="S39" s="28">
        <f>R39/R38-1</f>
        <v/>
      </c>
    </row>
    <row r="40">
      <c r="A40" s="22" t="n">
        <v>46267</v>
      </c>
      <c r="B40" t="inlineStr">
        <is>
          <t>BETA_DEBT</t>
        </is>
      </c>
      <c r="C40">
        <f>VLOOKUP($B40,Funds!$A$5:$B$7,2,FALSE)</f>
        <v/>
      </c>
      <c r="D40" s="19">
        <f>G39</f>
        <v/>
      </c>
      <c r="E40" s="23">
        <f>SUMIFS(Transactions!$F:$F,Transactions!$C:$C,$B40,Transactions!$B:$B,$A40,Transactions!$D:$D,"SUBSCRIPTION")</f>
        <v/>
      </c>
      <c r="F40" s="23">
        <f>-SUMIFS(Transactions!$F:$F,Transactions!$C:$C,$B40,Transactions!$B:$B,$A40,Transactions!$D:$D,"REDEMPTION")</f>
        <v/>
      </c>
      <c r="G40" s="19">
        <f>D40+E40+F40</f>
        <v/>
      </c>
      <c r="H40" s="20">
        <f>K39</f>
        <v/>
      </c>
      <c r="I40" s="20">
        <f>SUMIFS(Transactions!$I:$I,Transactions!$C:$C,$B40,Transactions!$B:$B,$A40)</f>
        <v/>
      </c>
      <c r="J40" s="20">
        <f>IF($A40=EOMONTH($A40,0),P39+O40,0)</f>
        <v/>
      </c>
      <c r="K40" s="20">
        <f>H40+I40-J40</f>
        <v/>
      </c>
      <c r="L40" s="20" t="n">
        <v>193604685.98</v>
      </c>
      <c r="M40" s="20">
        <f>K40+L40</f>
        <v/>
      </c>
      <c r="N40" s="20">
        <f>Q39</f>
        <v/>
      </c>
      <c r="O40" s="24">
        <f>N40*VLOOKUP($B40,Funds!$A$5:$D$7,4,FALSE)/36500</f>
        <v/>
      </c>
      <c r="P40" s="24">
        <f>P39+O40-J40</f>
        <v/>
      </c>
      <c r="Q40" s="20">
        <f>M40-P40</f>
        <v/>
      </c>
      <c r="R40" s="18">
        <f>Q40/G40</f>
        <v/>
      </c>
      <c r="S40" s="28">
        <f>R40/R39-1</f>
        <v/>
      </c>
    </row>
    <row r="41">
      <c r="A41" s="22" t="n">
        <v>46268</v>
      </c>
      <c r="B41" t="inlineStr">
        <is>
          <t>BETA_DEBT</t>
        </is>
      </c>
      <c r="C41">
        <f>VLOOKUP($B41,Funds!$A$5:$B$7,2,FALSE)</f>
        <v/>
      </c>
      <c r="D41" s="19">
        <f>G40</f>
        <v/>
      </c>
      <c r="E41" s="23">
        <f>SUMIFS(Transactions!$F:$F,Transactions!$C:$C,$B41,Transactions!$B:$B,$A41,Transactions!$D:$D,"SUBSCRIPTION")</f>
        <v/>
      </c>
      <c r="F41" s="23">
        <f>-SUMIFS(Transactions!$F:$F,Transactions!$C:$C,$B41,Transactions!$B:$B,$A41,Transactions!$D:$D,"REDEMPTION")</f>
        <v/>
      </c>
      <c r="G41" s="19">
        <f>D41+E41+F41</f>
        <v/>
      </c>
      <c r="H41" s="20">
        <f>K40</f>
        <v/>
      </c>
      <c r="I41" s="20">
        <f>SUMIFS(Transactions!$I:$I,Transactions!$C:$C,$B41,Transactions!$B:$B,$A41)</f>
        <v/>
      </c>
      <c r="J41" s="20">
        <f>IF($A41=EOMONTH($A41,0),P40+O41,0)</f>
        <v/>
      </c>
      <c r="K41" s="20">
        <f>H41+I41-J41</f>
        <v/>
      </c>
      <c r="L41" s="20" t="n">
        <v>193834210.18</v>
      </c>
      <c r="M41" s="20">
        <f>K41+L41</f>
        <v/>
      </c>
      <c r="N41" s="20">
        <f>Q40</f>
        <v/>
      </c>
      <c r="O41" s="24">
        <f>N41*VLOOKUP($B41,Funds!$A$5:$D$7,4,FALSE)/36500</f>
        <v/>
      </c>
      <c r="P41" s="24">
        <f>P40+O41-J41</f>
        <v/>
      </c>
      <c r="Q41" s="20">
        <f>M41-P41</f>
        <v/>
      </c>
      <c r="R41" s="18">
        <f>Q41/G41</f>
        <v/>
      </c>
      <c r="S41" s="28">
        <f>R41/R40-1</f>
        <v/>
      </c>
    </row>
    <row r="42">
      <c r="A42" s="22" t="n">
        <v>46269</v>
      </c>
      <c r="B42" t="inlineStr">
        <is>
          <t>BETA_DEBT</t>
        </is>
      </c>
      <c r="C42">
        <f>VLOOKUP($B42,Funds!$A$5:$B$7,2,FALSE)</f>
        <v/>
      </c>
      <c r="D42" s="19">
        <f>G41</f>
        <v/>
      </c>
      <c r="E42" s="23">
        <f>SUMIFS(Transactions!$F:$F,Transactions!$C:$C,$B42,Transactions!$B:$B,$A42,Transactions!$D:$D,"SUBSCRIPTION")</f>
        <v/>
      </c>
      <c r="F42" s="23">
        <f>-SUMIFS(Transactions!$F:$F,Transactions!$C:$C,$B42,Transactions!$B:$B,$A42,Transactions!$D:$D,"REDEMPTION")</f>
        <v/>
      </c>
      <c r="G42" s="19">
        <f>D42+E42+F42</f>
        <v/>
      </c>
      <c r="H42" s="20">
        <f>K41</f>
        <v/>
      </c>
      <c r="I42" s="20">
        <f>SUMIFS(Transactions!$I:$I,Transactions!$C:$C,$B42,Transactions!$B:$B,$A42)</f>
        <v/>
      </c>
      <c r="J42" s="20">
        <f>IF($A42=EOMONTH($A42,0),P41+O42,0)</f>
        <v/>
      </c>
      <c r="K42" s="20">
        <f>H42+I42-J42</f>
        <v/>
      </c>
      <c r="L42" s="20" t="n">
        <v>194136733.68</v>
      </c>
      <c r="M42" s="20">
        <f>K42+L42</f>
        <v/>
      </c>
      <c r="N42" s="20">
        <f>Q41</f>
        <v/>
      </c>
      <c r="O42" s="24">
        <f>N42*VLOOKUP($B42,Funds!$A$5:$D$7,4,FALSE)/36500</f>
        <v/>
      </c>
      <c r="P42" s="24">
        <f>P41+O42-J42</f>
        <v/>
      </c>
      <c r="Q42" s="20">
        <f>M42-P42</f>
        <v/>
      </c>
      <c r="R42" s="18">
        <f>Q42/G42</f>
        <v/>
      </c>
      <c r="S42" s="28">
        <f>R42/R41-1</f>
        <v/>
      </c>
    </row>
    <row r="43">
      <c r="A43" s="22" t="n">
        <v>46272</v>
      </c>
      <c r="B43" t="inlineStr">
        <is>
          <t>BETA_DEBT</t>
        </is>
      </c>
      <c r="C43">
        <f>VLOOKUP($B43,Funds!$A$5:$B$7,2,FALSE)</f>
        <v/>
      </c>
      <c r="D43" s="19">
        <f>G42</f>
        <v/>
      </c>
      <c r="E43" s="23">
        <f>SUMIFS(Transactions!$F:$F,Transactions!$C:$C,$B43,Transactions!$B:$B,$A43,Transactions!$D:$D,"SUBSCRIPTION")</f>
        <v/>
      </c>
      <c r="F43" s="23">
        <f>-SUMIFS(Transactions!$F:$F,Transactions!$C:$C,$B43,Transactions!$B:$B,$A43,Transactions!$D:$D,"REDEMPTION")</f>
        <v/>
      </c>
      <c r="G43" s="19">
        <f>D43+E43+F43</f>
        <v/>
      </c>
      <c r="H43" s="20">
        <f>K42</f>
        <v/>
      </c>
      <c r="I43" s="20">
        <f>SUMIFS(Transactions!$I:$I,Transactions!$C:$C,$B43,Transactions!$B:$B,$A43)</f>
        <v/>
      </c>
      <c r="J43" s="20">
        <f>IF($A43=EOMONTH($A43,0),P42+O43,0)</f>
        <v/>
      </c>
      <c r="K43" s="20">
        <f>H43+I43-J43</f>
        <v/>
      </c>
      <c r="L43" s="20" t="n">
        <v>193947499.88</v>
      </c>
      <c r="M43" s="20">
        <f>K43+L43</f>
        <v/>
      </c>
      <c r="N43" s="20">
        <f>Q42</f>
        <v/>
      </c>
      <c r="O43" s="24">
        <f>N43*VLOOKUP($B43,Funds!$A$5:$D$7,4,FALSE)/36500</f>
        <v/>
      </c>
      <c r="P43" s="24">
        <f>P42+O43-J43</f>
        <v/>
      </c>
      <c r="Q43" s="20">
        <f>M43-P43</f>
        <v/>
      </c>
      <c r="R43" s="18">
        <f>Q43/G43</f>
        <v/>
      </c>
      <c r="S43" s="28">
        <f>R43/R42-1</f>
        <v/>
      </c>
    </row>
    <row r="44">
      <c r="A44" s="22" t="n">
        <v>46273</v>
      </c>
      <c r="B44" t="inlineStr">
        <is>
          <t>BETA_DEBT</t>
        </is>
      </c>
      <c r="C44">
        <f>VLOOKUP($B44,Funds!$A$5:$B$7,2,FALSE)</f>
        <v/>
      </c>
      <c r="D44" s="19">
        <f>G43</f>
        <v/>
      </c>
      <c r="E44" s="23">
        <f>SUMIFS(Transactions!$F:$F,Transactions!$C:$C,$B44,Transactions!$B:$B,$A44,Transactions!$D:$D,"SUBSCRIPTION")</f>
        <v/>
      </c>
      <c r="F44" s="23">
        <f>-SUMIFS(Transactions!$F:$F,Transactions!$C:$C,$B44,Transactions!$B:$B,$A44,Transactions!$D:$D,"REDEMPTION")</f>
        <v/>
      </c>
      <c r="G44" s="19">
        <f>D44+E44+F44</f>
        <v/>
      </c>
      <c r="H44" s="20">
        <f>K43</f>
        <v/>
      </c>
      <c r="I44" s="20">
        <f>SUMIFS(Transactions!$I:$I,Transactions!$C:$C,$B44,Transactions!$B:$B,$A44)</f>
        <v/>
      </c>
      <c r="J44" s="20">
        <f>IF($A44=EOMONTH($A44,0),P43+O44,0)</f>
        <v/>
      </c>
      <c r="K44" s="20">
        <f>H44+I44-J44</f>
        <v/>
      </c>
      <c r="L44" s="20" t="n">
        <v>193604861.4</v>
      </c>
      <c r="M44" s="20">
        <f>K44+L44</f>
        <v/>
      </c>
      <c r="N44" s="20">
        <f>Q43</f>
        <v/>
      </c>
      <c r="O44" s="24">
        <f>N44*VLOOKUP($B44,Funds!$A$5:$D$7,4,FALSE)/36500</f>
        <v/>
      </c>
      <c r="P44" s="24">
        <f>P43+O44-J44</f>
        <v/>
      </c>
      <c r="Q44" s="20">
        <f>M44-P44</f>
        <v/>
      </c>
      <c r="R44" s="18">
        <f>Q44/G44</f>
        <v/>
      </c>
      <c r="S44" s="28">
        <f>R44/R43-1</f>
        <v/>
      </c>
    </row>
    <row r="45">
      <c r="A45" s="22" t="n">
        <v>46274</v>
      </c>
      <c r="B45" t="inlineStr">
        <is>
          <t>BETA_DEBT</t>
        </is>
      </c>
      <c r="C45">
        <f>VLOOKUP($B45,Funds!$A$5:$B$7,2,FALSE)</f>
        <v/>
      </c>
      <c r="D45" s="19">
        <f>G44</f>
        <v/>
      </c>
      <c r="E45" s="23">
        <f>SUMIFS(Transactions!$F:$F,Transactions!$C:$C,$B45,Transactions!$B:$B,$A45,Transactions!$D:$D,"SUBSCRIPTION")</f>
        <v/>
      </c>
      <c r="F45" s="23">
        <f>-SUMIFS(Transactions!$F:$F,Transactions!$C:$C,$B45,Transactions!$B:$B,$A45,Transactions!$D:$D,"REDEMPTION")</f>
        <v/>
      </c>
      <c r="G45" s="19">
        <f>D45+E45+F45</f>
        <v/>
      </c>
      <c r="H45" s="20">
        <f>K44</f>
        <v/>
      </c>
      <c r="I45" s="20">
        <f>SUMIFS(Transactions!$I:$I,Transactions!$C:$C,$B45,Transactions!$B:$B,$A45)</f>
        <v/>
      </c>
      <c r="J45" s="20">
        <f>IF($A45=EOMONTH($A45,0),P44+O45,0)</f>
        <v/>
      </c>
      <c r="K45" s="20">
        <f>H45+I45-J45</f>
        <v/>
      </c>
      <c r="L45" s="20" t="n">
        <v>193533286.62</v>
      </c>
      <c r="M45" s="20">
        <f>K45+L45</f>
        <v/>
      </c>
      <c r="N45" s="20">
        <f>Q44</f>
        <v/>
      </c>
      <c r="O45" s="24">
        <f>N45*VLOOKUP($B45,Funds!$A$5:$D$7,4,FALSE)/36500</f>
        <v/>
      </c>
      <c r="P45" s="24">
        <f>P44+O45-J45</f>
        <v/>
      </c>
      <c r="Q45" s="20">
        <f>M45-P45</f>
        <v/>
      </c>
      <c r="R45" s="18">
        <f>Q45/G45</f>
        <v/>
      </c>
      <c r="S45" s="28">
        <f>R45/R44-1</f>
        <v/>
      </c>
    </row>
    <row r="46">
      <c r="A46" s="22" t="n">
        <v>46275</v>
      </c>
      <c r="B46" t="inlineStr">
        <is>
          <t>BETA_DEBT</t>
        </is>
      </c>
      <c r="C46">
        <f>VLOOKUP($B46,Funds!$A$5:$B$7,2,FALSE)</f>
        <v/>
      </c>
      <c r="D46" s="19">
        <f>G45</f>
        <v/>
      </c>
      <c r="E46" s="23">
        <f>SUMIFS(Transactions!$F:$F,Transactions!$C:$C,$B46,Transactions!$B:$B,$A46,Transactions!$D:$D,"SUBSCRIPTION")</f>
        <v/>
      </c>
      <c r="F46" s="23">
        <f>-SUMIFS(Transactions!$F:$F,Transactions!$C:$C,$B46,Transactions!$B:$B,$A46,Transactions!$D:$D,"REDEMPTION")</f>
        <v/>
      </c>
      <c r="G46" s="19">
        <f>D46+E46+F46</f>
        <v/>
      </c>
      <c r="H46" s="20">
        <f>K45</f>
        <v/>
      </c>
      <c r="I46" s="20">
        <f>SUMIFS(Transactions!$I:$I,Transactions!$C:$C,$B46,Transactions!$B:$B,$A46)</f>
        <v/>
      </c>
      <c r="J46" s="20">
        <f>IF($A46=EOMONTH($A46,0),P45+O46,0)</f>
        <v/>
      </c>
      <c r="K46" s="20">
        <f>H46+I46-J46</f>
        <v/>
      </c>
      <c r="L46" s="20" t="n">
        <v>193415480.47</v>
      </c>
      <c r="M46" s="20">
        <f>K46+L46</f>
        <v/>
      </c>
      <c r="N46" s="20">
        <f>Q45</f>
        <v/>
      </c>
      <c r="O46" s="24">
        <f>N46*VLOOKUP($B46,Funds!$A$5:$D$7,4,FALSE)/36500</f>
        <v/>
      </c>
      <c r="P46" s="24">
        <f>P45+O46-J46</f>
        <v/>
      </c>
      <c r="Q46" s="20">
        <f>M46-P46</f>
        <v/>
      </c>
      <c r="R46" s="18">
        <f>Q46/G46</f>
        <v/>
      </c>
      <c r="S46" s="28">
        <f>R46/R45-1</f>
        <v/>
      </c>
    </row>
    <row r="47">
      <c r="A47" s="22" t="n">
        <v>46276</v>
      </c>
      <c r="B47" t="inlineStr">
        <is>
          <t>BETA_DEBT</t>
        </is>
      </c>
      <c r="C47">
        <f>VLOOKUP($B47,Funds!$A$5:$B$7,2,FALSE)</f>
        <v/>
      </c>
      <c r="D47" s="19">
        <f>G46</f>
        <v/>
      </c>
      <c r="E47" s="23">
        <f>SUMIFS(Transactions!$F:$F,Transactions!$C:$C,$B47,Transactions!$B:$B,$A47,Transactions!$D:$D,"SUBSCRIPTION")</f>
        <v/>
      </c>
      <c r="F47" s="23">
        <f>-SUMIFS(Transactions!$F:$F,Transactions!$C:$C,$B47,Transactions!$B:$B,$A47,Transactions!$D:$D,"REDEMPTION")</f>
        <v/>
      </c>
      <c r="G47" s="19">
        <f>D47+E47+F47</f>
        <v/>
      </c>
      <c r="H47" s="20">
        <f>K46</f>
        <v/>
      </c>
      <c r="I47" s="20">
        <f>SUMIFS(Transactions!$I:$I,Transactions!$C:$C,$B47,Transactions!$B:$B,$A47)</f>
        <v/>
      </c>
      <c r="J47" s="20">
        <f>IF($A47=EOMONTH($A47,0),P46+O47,0)</f>
        <v/>
      </c>
      <c r="K47" s="20">
        <f>H47+I47-J47</f>
        <v/>
      </c>
      <c r="L47" s="20" t="n">
        <v>192920289.35</v>
      </c>
      <c r="M47" s="20">
        <f>K47+L47</f>
        <v/>
      </c>
      <c r="N47" s="20">
        <f>Q46</f>
        <v/>
      </c>
      <c r="O47" s="24">
        <f>N47*VLOOKUP($B47,Funds!$A$5:$D$7,4,FALSE)/36500</f>
        <v/>
      </c>
      <c r="P47" s="24">
        <f>P46+O47-J47</f>
        <v/>
      </c>
      <c r="Q47" s="20">
        <f>M47-P47</f>
        <v/>
      </c>
      <c r="R47" s="18">
        <f>Q47/G47</f>
        <v/>
      </c>
      <c r="S47" s="28">
        <f>R47/R46-1</f>
        <v/>
      </c>
    </row>
    <row r="48">
      <c r="A48" s="22" t="n">
        <v>46279</v>
      </c>
      <c r="B48" t="inlineStr">
        <is>
          <t>BETA_DEBT</t>
        </is>
      </c>
      <c r="C48">
        <f>VLOOKUP($B48,Funds!$A$5:$B$7,2,FALSE)</f>
        <v/>
      </c>
      <c r="D48" s="19">
        <f>G47</f>
        <v/>
      </c>
      <c r="E48" s="23">
        <f>SUMIFS(Transactions!$F:$F,Transactions!$C:$C,$B48,Transactions!$B:$B,$A48,Transactions!$D:$D,"SUBSCRIPTION")</f>
        <v/>
      </c>
      <c r="F48" s="23">
        <f>-SUMIFS(Transactions!$F:$F,Transactions!$C:$C,$B48,Transactions!$B:$B,$A48,Transactions!$D:$D,"REDEMPTION")</f>
        <v/>
      </c>
      <c r="G48" s="19">
        <f>D48+E48+F48</f>
        <v/>
      </c>
      <c r="H48" s="20">
        <f>K47</f>
        <v/>
      </c>
      <c r="I48" s="20">
        <f>SUMIFS(Transactions!$I:$I,Transactions!$C:$C,$B48,Transactions!$B:$B,$A48)</f>
        <v/>
      </c>
      <c r="J48" s="20">
        <f>IF($A48=EOMONTH($A48,0),P47+O48,0)</f>
        <v/>
      </c>
      <c r="K48" s="20">
        <f>H48+I48-J48</f>
        <v/>
      </c>
      <c r="L48" s="20" t="n">
        <v>189209316.22</v>
      </c>
      <c r="M48" s="20">
        <f>K48+L48</f>
        <v/>
      </c>
      <c r="N48" s="20">
        <f>Q47</f>
        <v/>
      </c>
      <c r="O48" s="24">
        <f>N48*VLOOKUP($B48,Funds!$A$5:$D$7,4,FALSE)/36500</f>
        <v/>
      </c>
      <c r="P48" s="24">
        <f>P47+O48-J48</f>
        <v/>
      </c>
      <c r="Q48" s="20">
        <f>M48-P48</f>
        <v/>
      </c>
      <c r="R48" s="18">
        <f>Q48/G48</f>
        <v/>
      </c>
      <c r="S48" s="28">
        <f>R48/R47-1</f>
        <v/>
      </c>
    </row>
    <row r="49">
      <c r="A49" s="22" t="n">
        <v>46280</v>
      </c>
      <c r="B49" t="inlineStr">
        <is>
          <t>BETA_DEBT</t>
        </is>
      </c>
      <c r="C49">
        <f>VLOOKUP($B49,Funds!$A$5:$B$7,2,FALSE)</f>
        <v/>
      </c>
      <c r="D49" s="19">
        <f>G48</f>
        <v/>
      </c>
      <c r="E49" s="23">
        <f>SUMIFS(Transactions!$F:$F,Transactions!$C:$C,$B49,Transactions!$B:$B,$A49,Transactions!$D:$D,"SUBSCRIPTION")</f>
        <v/>
      </c>
      <c r="F49" s="23">
        <f>-SUMIFS(Transactions!$F:$F,Transactions!$C:$C,$B49,Transactions!$B:$B,$A49,Transactions!$D:$D,"REDEMPTION")</f>
        <v/>
      </c>
      <c r="G49" s="19">
        <f>D49+E49+F49</f>
        <v/>
      </c>
      <c r="H49" s="20">
        <f>K48</f>
        <v/>
      </c>
      <c r="I49" s="20">
        <f>SUMIFS(Transactions!$I:$I,Transactions!$C:$C,$B49,Transactions!$B:$B,$A49)</f>
        <v/>
      </c>
      <c r="J49" s="20">
        <f>IF($A49=EOMONTH($A49,0),P48+O49,0)</f>
        <v/>
      </c>
      <c r="K49" s="20">
        <f>H49+I49-J49</f>
        <v/>
      </c>
      <c r="L49" s="20" t="n">
        <v>189300828.33</v>
      </c>
      <c r="M49" s="20">
        <f>K49+L49</f>
        <v/>
      </c>
      <c r="N49" s="20">
        <f>Q48</f>
        <v/>
      </c>
      <c r="O49" s="24">
        <f>N49*VLOOKUP($B49,Funds!$A$5:$D$7,4,FALSE)/36500</f>
        <v/>
      </c>
      <c r="P49" s="24">
        <f>P48+O49-J49</f>
        <v/>
      </c>
      <c r="Q49" s="20">
        <f>M49-P49</f>
        <v/>
      </c>
      <c r="R49" s="18">
        <f>Q49/G49</f>
        <v/>
      </c>
      <c r="S49" s="28">
        <f>R49/R48-1</f>
        <v/>
      </c>
    </row>
    <row r="50">
      <c r="A50" s="22" t="n">
        <v>46281</v>
      </c>
      <c r="B50" t="inlineStr">
        <is>
          <t>BETA_DEBT</t>
        </is>
      </c>
      <c r="C50">
        <f>VLOOKUP($B50,Funds!$A$5:$B$7,2,FALSE)</f>
        <v/>
      </c>
      <c r="D50" s="19">
        <f>G49</f>
        <v/>
      </c>
      <c r="E50" s="23">
        <f>SUMIFS(Transactions!$F:$F,Transactions!$C:$C,$B50,Transactions!$B:$B,$A50,Transactions!$D:$D,"SUBSCRIPTION")</f>
        <v/>
      </c>
      <c r="F50" s="23">
        <f>-SUMIFS(Transactions!$F:$F,Transactions!$C:$C,$B50,Transactions!$B:$B,$A50,Transactions!$D:$D,"REDEMPTION")</f>
        <v/>
      </c>
      <c r="G50" s="19">
        <f>D50+E50+F50</f>
        <v/>
      </c>
      <c r="H50" s="20">
        <f>K49</f>
        <v/>
      </c>
      <c r="I50" s="20">
        <f>SUMIFS(Transactions!$I:$I,Transactions!$C:$C,$B50,Transactions!$B:$B,$A50)</f>
        <v/>
      </c>
      <c r="J50" s="20">
        <f>IF($A50=EOMONTH($A50,0),P49+O50,0)</f>
        <v/>
      </c>
      <c r="K50" s="20">
        <f>H50+I50-J50</f>
        <v/>
      </c>
      <c r="L50" s="20" t="n">
        <v>189164015.47</v>
      </c>
      <c r="M50" s="20">
        <f>K50+L50</f>
        <v/>
      </c>
      <c r="N50" s="20">
        <f>Q49</f>
        <v/>
      </c>
      <c r="O50" s="24">
        <f>N50*VLOOKUP($B50,Funds!$A$5:$D$7,4,FALSE)/36500</f>
        <v/>
      </c>
      <c r="P50" s="24">
        <f>P49+O50-J50</f>
        <v/>
      </c>
      <c r="Q50" s="20">
        <f>M50-P50</f>
        <v/>
      </c>
      <c r="R50" s="18">
        <f>Q50/G50</f>
        <v/>
      </c>
      <c r="S50" s="28">
        <f>R50/R49-1</f>
        <v/>
      </c>
    </row>
    <row r="51">
      <c r="A51" s="22" t="n">
        <v>46282</v>
      </c>
      <c r="B51" t="inlineStr">
        <is>
          <t>BETA_DEBT</t>
        </is>
      </c>
      <c r="C51">
        <f>VLOOKUP($B51,Funds!$A$5:$B$7,2,FALSE)</f>
        <v/>
      </c>
      <c r="D51" s="19">
        <f>G50</f>
        <v/>
      </c>
      <c r="E51" s="23">
        <f>SUMIFS(Transactions!$F:$F,Transactions!$C:$C,$B51,Transactions!$B:$B,$A51,Transactions!$D:$D,"SUBSCRIPTION")</f>
        <v/>
      </c>
      <c r="F51" s="23">
        <f>-SUMIFS(Transactions!$F:$F,Transactions!$C:$C,$B51,Transactions!$B:$B,$A51,Transactions!$D:$D,"REDEMPTION")</f>
        <v/>
      </c>
      <c r="G51" s="19">
        <f>D51+E51+F51</f>
        <v/>
      </c>
      <c r="H51" s="20">
        <f>K50</f>
        <v/>
      </c>
      <c r="I51" s="20">
        <f>SUMIFS(Transactions!$I:$I,Transactions!$C:$C,$B51,Transactions!$B:$B,$A51)</f>
        <v/>
      </c>
      <c r="J51" s="20">
        <f>IF($A51=EOMONTH($A51,0),P50+O51,0)</f>
        <v/>
      </c>
      <c r="K51" s="20">
        <f>H51+I51-J51</f>
        <v/>
      </c>
      <c r="L51" s="20" t="n">
        <v>189614910.23</v>
      </c>
      <c r="M51" s="20">
        <f>K51+L51</f>
        <v/>
      </c>
      <c r="N51" s="20">
        <f>Q50</f>
        <v/>
      </c>
      <c r="O51" s="24">
        <f>N51*VLOOKUP($B51,Funds!$A$5:$D$7,4,FALSE)/36500</f>
        <v/>
      </c>
      <c r="P51" s="24">
        <f>P50+O51-J51</f>
        <v/>
      </c>
      <c r="Q51" s="20">
        <f>M51-P51</f>
        <v/>
      </c>
      <c r="R51" s="18">
        <f>Q51/G51</f>
        <v/>
      </c>
      <c r="S51" s="28">
        <f>R51/R50-1</f>
        <v/>
      </c>
    </row>
    <row r="52">
      <c r="A52" s="22" t="n">
        <v>46283</v>
      </c>
      <c r="B52" t="inlineStr">
        <is>
          <t>BETA_DEBT</t>
        </is>
      </c>
      <c r="C52">
        <f>VLOOKUP($B52,Funds!$A$5:$B$7,2,FALSE)</f>
        <v/>
      </c>
      <c r="D52" s="19">
        <f>G51</f>
        <v/>
      </c>
      <c r="E52" s="23">
        <f>SUMIFS(Transactions!$F:$F,Transactions!$C:$C,$B52,Transactions!$B:$B,$A52,Transactions!$D:$D,"SUBSCRIPTION")</f>
        <v/>
      </c>
      <c r="F52" s="23">
        <f>-SUMIFS(Transactions!$F:$F,Transactions!$C:$C,$B52,Transactions!$B:$B,$A52,Transactions!$D:$D,"REDEMPTION")</f>
        <v/>
      </c>
      <c r="G52" s="19">
        <f>D52+E52+F52</f>
        <v/>
      </c>
      <c r="H52" s="20">
        <f>K51</f>
        <v/>
      </c>
      <c r="I52" s="20">
        <f>SUMIFS(Transactions!$I:$I,Transactions!$C:$C,$B52,Transactions!$B:$B,$A52)</f>
        <v/>
      </c>
      <c r="J52" s="20">
        <f>IF($A52=EOMONTH($A52,0),P51+O52,0)</f>
        <v/>
      </c>
      <c r="K52" s="20">
        <f>H52+I52-J52</f>
        <v/>
      </c>
      <c r="L52" s="20" t="n">
        <v>189702733.58</v>
      </c>
      <c r="M52" s="20">
        <f>K52+L52</f>
        <v/>
      </c>
      <c r="N52" s="20">
        <f>Q51</f>
        <v/>
      </c>
      <c r="O52" s="24">
        <f>N52*VLOOKUP($B52,Funds!$A$5:$D$7,4,FALSE)/36500</f>
        <v/>
      </c>
      <c r="P52" s="24">
        <f>P51+O52-J52</f>
        <v/>
      </c>
      <c r="Q52" s="20">
        <f>M52-P52</f>
        <v/>
      </c>
      <c r="R52" s="18">
        <f>Q52/G52</f>
        <v/>
      </c>
      <c r="S52" s="28">
        <f>R52/R51-1</f>
        <v/>
      </c>
    </row>
    <row r="53">
      <c r="A53" s="22" t="n">
        <v>46286</v>
      </c>
      <c r="B53" t="inlineStr">
        <is>
          <t>BETA_DEBT</t>
        </is>
      </c>
      <c r="C53">
        <f>VLOOKUP($B53,Funds!$A$5:$B$7,2,FALSE)</f>
        <v/>
      </c>
      <c r="D53" s="19">
        <f>G52</f>
        <v/>
      </c>
      <c r="E53" s="23">
        <f>SUMIFS(Transactions!$F:$F,Transactions!$C:$C,$B53,Transactions!$B:$B,$A53,Transactions!$D:$D,"SUBSCRIPTION")</f>
        <v/>
      </c>
      <c r="F53" s="23">
        <f>-SUMIFS(Transactions!$F:$F,Transactions!$C:$C,$B53,Transactions!$B:$B,$A53,Transactions!$D:$D,"REDEMPTION")</f>
        <v/>
      </c>
      <c r="G53" s="19">
        <f>D53+E53+F53</f>
        <v/>
      </c>
      <c r="H53" s="20">
        <f>K52</f>
        <v/>
      </c>
      <c r="I53" s="20">
        <f>SUMIFS(Transactions!$I:$I,Transactions!$C:$C,$B53,Transactions!$B:$B,$A53)</f>
        <v/>
      </c>
      <c r="J53" s="20">
        <f>IF($A53=EOMONTH($A53,0),P52+O53,0)</f>
        <v/>
      </c>
      <c r="K53" s="20">
        <f>H53+I53-J53</f>
        <v/>
      </c>
      <c r="L53" s="20" t="n">
        <v>189954752.34</v>
      </c>
      <c r="M53" s="20">
        <f>K53+L53</f>
        <v/>
      </c>
      <c r="N53" s="20">
        <f>Q52</f>
        <v/>
      </c>
      <c r="O53" s="24">
        <f>N53*VLOOKUP($B53,Funds!$A$5:$D$7,4,FALSE)/36500</f>
        <v/>
      </c>
      <c r="P53" s="24">
        <f>P52+O53-J53</f>
        <v/>
      </c>
      <c r="Q53" s="20">
        <f>M53-P53</f>
        <v/>
      </c>
      <c r="R53" s="18">
        <f>Q53/G53</f>
        <v/>
      </c>
      <c r="S53" s="28">
        <f>R53/R52-1</f>
        <v/>
      </c>
    </row>
    <row r="54">
      <c r="A54" s="22" t="n">
        <v>46287</v>
      </c>
      <c r="B54" t="inlineStr">
        <is>
          <t>BETA_DEBT</t>
        </is>
      </c>
      <c r="C54">
        <f>VLOOKUP($B54,Funds!$A$5:$B$7,2,FALSE)</f>
        <v/>
      </c>
      <c r="D54" s="19">
        <f>G53</f>
        <v/>
      </c>
      <c r="E54" s="23">
        <f>SUMIFS(Transactions!$F:$F,Transactions!$C:$C,$B54,Transactions!$B:$B,$A54,Transactions!$D:$D,"SUBSCRIPTION")</f>
        <v/>
      </c>
      <c r="F54" s="23">
        <f>-SUMIFS(Transactions!$F:$F,Transactions!$C:$C,$B54,Transactions!$B:$B,$A54,Transactions!$D:$D,"REDEMPTION")</f>
        <v/>
      </c>
      <c r="G54" s="19">
        <f>D54+E54+F54</f>
        <v/>
      </c>
      <c r="H54" s="20">
        <f>K53</f>
        <v/>
      </c>
      <c r="I54" s="20">
        <f>SUMIFS(Transactions!$I:$I,Transactions!$C:$C,$B54,Transactions!$B:$B,$A54)</f>
        <v/>
      </c>
      <c r="J54" s="20">
        <f>IF($A54=EOMONTH($A54,0),P53+O54,0)</f>
        <v/>
      </c>
      <c r="K54" s="20">
        <f>H54+I54-J54</f>
        <v/>
      </c>
      <c r="L54" s="20" t="n">
        <v>189175587.9</v>
      </c>
      <c r="M54" s="20">
        <f>K54+L54</f>
        <v/>
      </c>
      <c r="N54" s="20">
        <f>Q53</f>
        <v/>
      </c>
      <c r="O54" s="24">
        <f>N54*VLOOKUP($B54,Funds!$A$5:$D$7,4,FALSE)/36500</f>
        <v/>
      </c>
      <c r="P54" s="24">
        <f>P53+O54-J54</f>
        <v/>
      </c>
      <c r="Q54" s="20">
        <f>M54-P54</f>
        <v/>
      </c>
      <c r="R54" s="18">
        <f>Q54/G54</f>
        <v/>
      </c>
      <c r="S54" s="28">
        <f>R54/R53-1</f>
        <v/>
      </c>
    </row>
    <row r="55">
      <c r="A55" s="22" t="n">
        <v>46288</v>
      </c>
      <c r="B55" t="inlineStr">
        <is>
          <t>BETA_DEBT</t>
        </is>
      </c>
      <c r="C55">
        <f>VLOOKUP($B55,Funds!$A$5:$B$7,2,FALSE)</f>
        <v/>
      </c>
      <c r="D55" s="19">
        <f>G54</f>
        <v/>
      </c>
      <c r="E55" s="23">
        <f>SUMIFS(Transactions!$F:$F,Transactions!$C:$C,$B55,Transactions!$B:$B,$A55,Transactions!$D:$D,"SUBSCRIPTION")</f>
        <v/>
      </c>
      <c r="F55" s="23">
        <f>-SUMIFS(Transactions!$F:$F,Transactions!$C:$C,$B55,Transactions!$B:$B,$A55,Transactions!$D:$D,"REDEMPTION")</f>
        <v/>
      </c>
      <c r="G55" s="19">
        <f>D55+E55+F55</f>
        <v/>
      </c>
      <c r="H55" s="20">
        <f>K54</f>
        <v/>
      </c>
      <c r="I55" s="20">
        <f>SUMIFS(Transactions!$I:$I,Transactions!$C:$C,$B55,Transactions!$B:$B,$A55)</f>
        <v/>
      </c>
      <c r="J55" s="20">
        <f>IF($A55=EOMONTH($A55,0),P54+O55,0)</f>
        <v/>
      </c>
      <c r="K55" s="20">
        <f>H55+I55-J55</f>
        <v/>
      </c>
      <c r="L55" s="20" t="n">
        <v>188411325.63</v>
      </c>
      <c r="M55" s="20">
        <f>K55+L55</f>
        <v/>
      </c>
      <c r="N55" s="20">
        <f>Q54</f>
        <v/>
      </c>
      <c r="O55" s="24">
        <f>N55*VLOOKUP($B55,Funds!$A$5:$D$7,4,FALSE)/36500</f>
        <v/>
      </c>
      <c r="P55" s="24">
        <f>P54+O55-J55</f>
        <v/>
      </c>
      <c r="Q55" s="20">
        <f>M55-P55</f>
        <v/>
      </c>
      <c r="R55" s="18">
        <f>Q55/G55</f>
        <v/>
      </c>
      <c r="S55" s="28">
        <f>R55/R54-1</f>
        <v/>
      </c>
    </row>
    <row r="56">
      <c r="A56" s="22" t="n">
        <v>46289</v>
      </c>
      <c r="B56" t="inlineStr">
        <is>
          <t>BETA_DEBT</t>
        </is>
      </c>
      <c r="C56">
        <f>VLOOKUP($B56,Funds!$A$5:$B$7,2,FALSE)</f>
        <v/>
      </c>
      <c r="D56" s="19">
        <f>G55</f>
        <v/>
      </c>
      <c r="E56" s="23">
        <f>SUMIFS(Transactions!$F:$F,Transactions!$C:$C,$B56,Transactions!$B:$B,$A56,Transactions!$D:$D,"SUBSCRIPTION")</f>
        <v/>
      </c>
      <c r="F56" s="23">
        <f>-SUMIFS(Transactions!$F:$F,Transactions!$C:$C,$B56,Transactions!$B:$B,$A56,Transactions!$D:$D,"REDEMPTION")</f>
        <v/>
      </c>
      <c r="G56" s="19">
        <f>D56+E56+F56</f>
        <v/>
      </c>
      <c r="H56" s="20">
        <f>K55</f>
        <v/>
      </c>
      <c r="I56" s="20">
        <f>SUMIFS(Transactions!$I:$I,Transactions!$C:$C,$B56,Transactions!$B:$B,$A56)</f>
        <v/>
      </c>
      <c r="J56" s="20">
        <f>IF($A56=EOMONTH($A56,0),P55+O56,0)</f>
        <v/>
      </c>
      <c r="K56" s="20">
        <f>H56+I56-J56</f>
        <v/>
      </c>
      <c r="L56" s="20" t="n">
        <v>186617480.83</v>
      </c>
      <c r="M56" s="20">
        <f>K56+L56</f>
        <v/>
      </c>
      <c r="N56" s="20">
        <f>Q55</f>
        <v/>
      </c>
      <c r="O56" s="24">
        <f>N56*VLOOKUP($B56,Funds!$A$5:$D$7,4,FALSE)/36500</f>
        <v/>
      </c>
      <c r="P56" s="24">
        <f>P55+O56-J56</f>
        <v/>
      </c>
      <c r="Q56" s="20">
        <f>M56-P56</f>
        <v/>
      </c>
      <c r="R56" s="18">
        <f>Q56/G56</f>
        <v/>
      </c>
      <c r="S56" s="28">
        <f>R56/R55-1</f>
        <v/>
      </c>
    </row>
    <row r="57">
      <c r="A57" s="22" t="n">
        <v>46290</v>
      </c>
      <c r="B57" t="inlineStr">
        <is>
          <t>BETA_DEBT</t>
        </is>
      </c>
      <c r="C57">
        <f>VLOOKUP($B57,Funds!$A$5:$B$7,2,FALSE)</f>
        <v/>
      </c>
      <c r="D57" s="19">
        <f>G56</f>
        <v/>
      </c>
      <c r="E57" s="23">
        <f>SUMIFS(Transactions!$F:$F,Transactions!$C:$C,$B57,Transactions!$B:$B,$A57,Transactions!$D:$D,"SUBSCRIPTION")</f>
        <v/>
      </c>
      <c r="F57" s="23">
        <f>-SUMIFS(Transactions!$F:$F,Transactions!$C:$C,$B57,Transactions!$B:$B,$A57,Transactions!$D:$D,"REDEMPTION")</f>
        <v/>
      </c>
      <c r="G57" s="19">
        <f>D57+E57+F57</f>
        <v/>
      </c>
      <c r="H57" s="20">
        <f>K56</f>
        <v/>
      </c>
      <c r="I57" s="20">
        <f>SUMIFS(Transactions!$I:$I,Transactions!$C:$C,$B57,Transactions!$B:$B,$A57)</f>
        <v/>
      </c>
      <c r="J57" s="20">
        <f>IF($A57=EOMONTH($A57,0),P56+O57,0)</f>
        <v/>
      </c>
      <c r="K57" s="20">
        <f>H57+I57-J57</f>
        <v/>
      </c>
      <c r="L57" s="20" t="n">
        <v>186568105.25</v>
      </c>
      <c r="M57" s="20">
        <f>K57+L57</f>
        <v/>
      </c>
      <c r="N57" s="20">
        <f>Q56</f>
        <v/>
      </c>
      <c r="O57" s="24">
        <f>N57*VLOOKUP($B57,Funds!$A$5:$D$7,4,FALSE)/36500</f>
        <v/>
      </c>
      <c r="P57" s="24">
        <f>P56+O57-J57</f>
        <v/>
      </c>
      <c r="Q57" s="20">
        <f>M57-P57</f>
        <v/>
      </c>
      <c r="R57" s="18">
        <f>Q57/G57</f>
        <v/>
      </c>
      <c r="S57" s="28">
        <f>R57/R56-1</f>
        <v/>
      </c>
    </row>
    <row r="58">
      <c r="A58" s="22" t="n">
        <v>46293</v>
      </c>
      <c r="B58" t="inlineStr">
        <is>
          <t>BETA_DEBT</t>
        </is>
      </c>
      <c r="C58">
        <f>VLOOKUP($B58,Funds!$A$5:$B$7,2,FALSE)</f>
        <v/>
      </c>
      <c r="D58" s="19">
        <f>G57</f>
        <v/>
      </c>
      <c r="E58" s="23">
        <f>SUMIFS(Transactions!$F:$F,Transactions!$C:$C,$B58,Transactions!$B:$B,$A58,Transactions!$D:$D,"SUBSCRIPTION")</f>
        <v/>
      </c>
      <c r="F58" s="23">
        <f>-SUMIFS(Transactions!$F:$F,Transactions!$C:$C,$B58,Transactions!$B:$B,$A58,Transactions!$D:$D,"REDEMPTION")</f>
        <v/>
      </c>
      <c r="G58" s="19">
        <f>D58+E58+F58</f>
        <v/>
      </c>
      <c r="H58" s="20">
        <f>K57</f>
        <v/>
      </c>
      <c r="I58" s="20">
        <f>SUMIFS(Transactions!$I:$I,Transactions!$C:$C,$B58,Transactions!$B:$B,$A58)</f>
        <v/>
      </c>
      <c r="J58" s="20">
        <f>IF($A58=EOMONTH($A58,0),P57+O58,0)</f>
        <v/>
      </c>
      <c r="K58" s="20">
        <f>H58+I58-J58</f>
        <v/>
      </c>
      <c r="L58" s="20" t="n">
        <v>186849243.49</v>
      </c>
      <c r="M58" s="20">
        <f>K58+L58</f>
        <v/>
      </c>
      <c r="N58" s="20">
        <f>Q57</f>
        <v/>
      </c>
      <c r="O58" s="24">
        <f>N58*VLOOKUP($B58,Funds!$A$5:$D$7,4,FALSE)/36500</f>
        <v/>
      </c>
      <c r="P58" s="24">
        <f>P57+O58-J58</f>
        <v/>
      </c>
      <c r="Q58" s="20">
        <f>M58-P58</f>
        <v/>
      </c>
      <c r="R58" s="18">
        <f>Q58/G58</f>
        <v/>
      </c>
      <c r="S58" s="28">
        <f>R58/R57-1</f>
        <v/>
      </c>
    </row>
    <row r="59">
      <c r="A59" s="22" t="n">
        <v>46294</v>
      </c>
      <c r="B59" t="inlineStr">
        <is>
          <t>BETA_DEBT</t>
        </is>
      </c>
      <c r="C59">
        <f>VLOOKUP($B59,Funds!$A$5:$B$7,2,FALSE)</f>
        <v/>
      </c>
      <c r="D59" s="19">
        <f>G58</f>
        <v/>
      </c>
      <c r="E59" s="23">
        <f>SUMIFS(Transactions!$F:$F,Transactions!$C:$C,$B59,Transactions!$B:$B,$A59,Transactions!$D:$D,"SUBSCRIPTION")</f>
        <v/>
      </c>
      <c r="F59" s="23">
        <f>-SUMIFS(Transactions!$F:$F,Transactions!$C:$C,$B59,Transactions!$B:$B,$A59,Transactions!$D:$D,"REDEMPTION")</f>
        <v/>
      </c>
      <c r="G59" s="19">
        <f>D59+E59+F59</f>
        <v/>
      </c>
      <c r="H59" s="20">
        <f>K58</f>
        <v/>
      </c>
      <c r="I59" s="20">
        <f>SUMIFS(Transactions!$I:$I,Transactions!$C:$C,$B59,Transactions!$B:$B,$A59)</f>
        <v/>
      </c>
      <c r="J59" s="20">
        <f>IF($A59=EOMONTH($A59,0),P58+O59,0)</f>
        <v/>
      </c>
      <c r="K59" s="20">
        <f>H59+I59-J59</f>
        <v/>
      </c>
      <c r="L59" s="20" t="n">
        <v>186483530.89</v>
      </c>
      <c r="M59" s="20">
        <f>K59+L59</f>
        <v/>
      </c>
      <c r="N59" s="20">
        <f>Q58</f>
        <v/>
      </c>
      <c r="O59" s="24">
        <f>N59*VLOOKUP($B59,Funds!$A$5:$D$7,4,FALSE)/36500</f>
        <v/>
      </c>
      <c r="P59" s="24">
        <f>P58+O59-J59</f>
        <v/>
      </c>
      <c r="Q59" s="20">
        <f>M59-P59</f>
        <v/>
      </c>
      <c r="R59" s="18">
        <f>Q59/G59</f>
        <v/>
      </c>
      <c r="S59" s="28">
        <f>R59/R58-1</f>
        <v/>
      </c>
    </row>
    <row r="60">
      <c r="A60" s="22" t="n">
        <v>46295</v>
      </c>
      <c r="B60" t="inlineStr">
        <is>
          <t>BETA_DEBT</t>
        </is>
      </c>
      <c r="C60">
        <f>VLOOKUP($B60,Funds!$A$5:$B$7,2,FALSE)</f>
        <v/>
      </c>
      <c r="D60" s="19">
        <f>G59</f>
        <v/>
      </c>
      <c r="E60" s="23">
        <f>SUMIFS(Transactions!$F:$F,Transactions!$C:$C,$B60,Transactions!$B:$B,$A60,Transactions!$D:$D,"SUBSCRIPTION")</f>
        <v/>
      </c>
      <c r="F60" s="23">
        <f>-SUMIFS(Transactions!$F:$F,Transactions!$C:$C,$B60,Transactions!$B:$B,$A60,Transactions!$D:$D,"REDEMPTION")</f>
        <v/>
      </c>
      <c r="G60" s="19">
        <f>D60+E60+F60</f>
        <v/>
      </c>
      <c r="H60" s="20">
        <f>K59</f>
        <v/>
      </c>
      <c r="I60" s="20">
        <f>SUMIFS(Transactions!$I:$I,Transactions!$C:$C,$B60,Transactions!$B:$B,$A60)</f>
        <v/>
      </c>
      <c r="J60" s="20">
        <f>IF($A60=EOMONTH($A60,0),P59+O60,0)</f>
        <v/>
      </c>
      <c r="K60" s="20">
        <f>H60+I60-J60</f>
        <v/>
      </c>
      <c r="L60" s="20" t="n">
        <v>185453100.81</v>
      </c>
      <c r="M60" s="20">
        <f>K60+L60</f>
        <v/>
      </c>
      <c r="N60" s="20">
        <f>Q59</f>
        <v/>
      </c>
      <c r="O60" s="24">
        <f>N60*VLOOKUP($B60,Funds!$A$5:$D$7,4,FALSE)/36500</f>
        <v/>
      </c>
      <c r="P60" s="24">
        <f>P59+O60-J60</f>
        <v/>
      </c>
      <c r="Q60" s="20">
        <f>M60-P60</f>
        <v/>
      </c>
      <c r="R60" s="18">
        <f>Q60/G60</f>
        <v/>
      </c>
      <c r="S60" s="28">
        <f>R60/R59-1</f>
        <v/>
      </c>
    </row>
    <row r="61">
      <c r="A61" s="22" t="n">
        <v>46296</v>
      </c>
      <c r="B61" t="inlineStr">
        <is>
          <t>BETA_DEBT</t>
        </is>
      </c>
      <c r="C61">
        <f>VLOOKUP($B61,Funds!$A$5:$B$7,2,FALSE)</f>
        <v/>
      </c>
      <c r="D61" s="19">
        <f>G60</f>
        <v/>
      </c>
      <c r="E61" s="23">
        <f>SUMIFS(Transactions!$F:$F,Transactions!$C:$C,$B61,Transactions!$B:$B,$A61,Transactions!$D:$D,"SUBSCRIPTION")</f>
        <v/>
      </c>
      <c r="F61" s="23">
        <f>-SUMIFS(Transactions!$F:$F,Transactions!$C:$C,$B61,Transactions!$B:$B,$A61,Transactions!$D:$D,"REDEMPTION")</f>
        <v/>
      </c>
      <c r="G61" s="19">
        <f>D61+E61+F61</f>
        <v/>
      </c>
      <c r="H61" s="20">
        <f>K60</f>
        <v/>
      </c>
      <c r="I61" s="20">
        <f>SUMIFS(Transactions!$I:$I,Transactions!$C:$C,$B61,Transactions!$B:$B,$A61)</f>
        <v/>
      </c>
      <c r="J61" s="20">
        <f>IF($A61=EOMONTH($A61,0),P60+O61,0)</f>
        <v/>
      </c>
      <c r="K61" s="20">
        <f>H61+I61-J61</f>
        <v/>
      </c>
      <c r="L61" s="20" t="n">
        <v>185500368.76</v>
      </c>
      <c r="M61" s="20">
        <f>K61+L61</f>
        <v/>
      </c>
      <c r="N61" s="20">
        <f>Q60</f>
        <v/>
      </c>
      <c r="O61" s="24">
        <f>N61*VLOOKUP($B61,Funds!$A$5:$D$7,4,FALSE)/36500</f>
        <v/>
      </c>
      <c r="P61" s="24">
        <f>P60+O61-J61</f>
        <v/>
      </c>
      <c r="Q61" s="20">
        <f>M61-P61</f>
        <v/>
      </c>
      <c r="R61" s="18">
        <f>Q61/G61</f>
        <v/>
      </c>
      <c r="S61" s="28">
        <f>R61/R60-1</f>
        <v/>
      </c>
    </row>
    <row r="62">
      <c r="A62" s="22" t="n">
        <v>46297</v>
      </c>
      <c r="B62" t="inlineStr">
        <is>
          <t>BETA_DEBT</t>
        </is>
      </c>
      <c r="C62">
        <f>VLOOKUP($B62,Funds!$A$5:$B$7,2,FALSE)</f>
        <v/>
      </c>
      <c r="D62" s="19">
        <f>G61</f>
        <v/>
      </c>
      <c r="E62" s="23">
        <f>SUMIFS(Transactions!$F:$F,Transactions!$C:$C,$B62,Transactions!$B:$B,$A62,Transactions!$D:$D,"SUBSCRIPTION")</f>
        <v/>
      </c>
      <c r="F62" s="23">
        <f>-SUMIFS(Transactions!$F:$F,Transactions!$C:$C,$B62,Transactions!$B:$B,$A62,Transactions!$D:$D,"REDEMPTION")</f>
        <v/>
      </c>
      <c r="G62" s="19">
        <f>D62+E62+F62</f>
        <v/>
      </c>
      <c r="H62" s="20">
        <f>K61</f>
        <v/>
      </c>
      <c r="I62" s="20">
        <f>SUMIFS(Transactions!$I:$I,Transactions!$C:$C,$B62,Transactions!$B:$B,$A62)</f>
        <v/>
      </c>
      <c r="J62" s="20">
        <f>IF($A62=EOMONTH($A62,0),P61+O62,0)</f>
        <v/>
      </c>
      <c r="K62" s="20">
        <f>H62+I62-J62</f>
        <v/>
      </c>
      <c r="L62" s="20" t="n">
        <v>181212050.74</v>
      </c>
      <c r="M62" s="20">
        <f>K62+L62</f>
        <v/>
      </c>
      <c r="N62" s="20">
        <f>Q61</f>
        <v/>
      </c>
      <c r="O62" s="24">
        <f>N62*VLOOKUP($B62,Funds!$A$5:$D$7,4,FALSE)/36500</f>
        <v/>
      </c>
      <c r="P62" s="24">
        <f>P61+O62-J62</f>
        <v/>
      </c>
      <c r="Q62" s="20">
        <f>M62-P62</f>
        <v/>
      </c>
      <c r="R62" s="18">
        <f>Q62/G62</f>
        <v/>
      </c>
      <c r="S62" s="28">
        <f>R62/R61-1</f>
        <v/>
      </c>
    </row>
    <row r="63">
      <c r="A63" s="22" t="n">
        <v>46300</v>
      </c>
      <c r="B63" t="inlineStr">
        <is>
          <t>BETA_DEBT</t>
        </is>
      </c>
      <c r="C63">
        <f>VLOOKUP($B63,Funds!$A$5:$B$7,2,FALSE)</f>
        <v/>
      </c>
      <c r="D63" s="19">
        <f>G62</f>
        <v/>
      </c>
      <c r="E63" s="23">
        <f>SUMIFS(Transactions!$F:$F,Transactions!$C:$C,$B63,Transactions!$B:$B,$A63,Transactions!$D:$D,"SUBSCRIPTION")</f>
        <v/>
      </c>
      <c r="F63" s="23">
        <f>-SUMIFS(Transactions!$F:$F,Transactions!$C:$C,$B63,Transactions!$B:$B,$A63,Transactions!$D:$D,"REDEMPTION")</f>
        <v/>
      </c>
      <c r="G63" s="19">
        <f>D63+E63+F63</f>
        <v/>
      </c>
      <c r="H63" s="20">
        <f>K62</f>
        <v/>
      </c>
      <c r="I63" s="20">
        <f>SUMIFS(Transactions!$I:$I,Transactions!$C:$C,$B63,Transactions!$B:$B,$A63)</f>
        <v/>
      </c>
      <c r="J63" s="20">
        <f>IF($A63=EOMONTH($A63,0),P62+O63,0)</f>
        <v/>
      </c>
      <c r="K63" s="20">
        <f>H63+I63-J63</f>
        <v/>
      </c>
      <c r="L63" s="20" t="n">
        <v>180625010.06</v>
      </c>
      <c r="M63" s="20">
        <f>K63+L63</f>
        <v/>
      </c>
      <c r="N63" s="20">
        <f>Q62</f>
        <v/>
      </c>
      <c r="O63" s="24">
        <f>N63*VLOOKUP($B63,Funds!$A$5:$D$7,4,FALSE)/36500</f>
        <v/>
      </c>
      <c r="P63" s="24">
        <f>P62+O63-J63</f>
        <v/>
      </c>
      <c r="Q63" s="20">
        <f>M63-P63</f>
        <v/>
      </c>
      <c r="R63" s="18">
        <f>Q63/G63</f>
        <v/>
      </c>
      <c r="S63" s="28">
        <f>R63/R62-1</f>
        <v/>
      </c>
    </row>
    <row r="64">
      <c r="A64" s="22" t="n">
        <v>46301</v>
      </c>
      <c r="B64" t="inlineStr">
        <is>
          <t>BETA_DEBT</t>
        </is>
      </c>
      <c r="C64">
        <f>VLOOKUP($B64,Funds!$A$5:$B$7,2,FALSE)</f>
        <v/>
      </c>
      <c r="D64" s="19">
        <f>G63</f>
        <v/>
      </c>
      <c r="E64" s="23">
        <f>SUMIFS(Transactions!$F:$F,Transactions!$C:$C,$B64,Transactions!$B:$B,$A64,Transactions!$D:$D,"SUBSCRIPTION")</f>
        <v/>
      </c>
      <c r="F64" s="23">
        <f>-SUMIFS(Transactions!$F:$F,Transactions!$C:$C,$B64,Transactions!$B:$B,$A64,Transactions!$D:$D,"REDEMPTION")</f>
        <v/>
      </c>
      <c r="G64" s="19">
        <f>D64+E64+F64</f>
        <v/>
      </c>
      <c r="H64" s="20">
        <f>K63</f>
        <v/>
      </c>
      <c r="I64" s="20">
        <f>SUMIFS(Transactions!$I:$I,Transactions!$C:$C,$B64,Transactions!$B:$B,$A64)</f>
        <v/>
      </c>
      <c r="J64" s="20">
        <f>IF($A64=EOMONTH($A64,0),P63+O64,0)</f>
        <v/>
      </c>
      <c r="K64" s="20">
        <f>H64+I64-J64</f>
        <v/>
      </c>
      <c r="L64" s="20" t="n">
        <v>179818675.94</v>
      </c>
      <c r="M64" s="20">
        <f>K64+L64</f>
        <v/>
      </c>
      <c r="N64" s="20">
        <f>Q63</f>
        <v/>
      </c>
      <c r="O64" s="24">
        <f>N64*VLOOKUP($B64,Funds!$A$5:$D$7,4,FALSE)/36500</f>
        <v/>
      </c>
      <c r="P64" s="24">
        <f>P63+O64-J64</f>
        <v/>
      </c>
      <c r="Q64" s="20">
        <f>M64-P64</f>
        <v/>
      </c>
      <c r="R64" s="18">
        <f>Q64/G64</f>
        <v/>
      </c>
      <c r="S64" s="28">
        <f>R64/R63-1</f>
        <v/>
      </c>
    </row>
    <row r="65">
      <c r="A65" s="22" t="n">
        <v>46260</v>
      </c>
      <c r="B65" t="inlineStr">
        <is>
          <t>GAMMA_BAL</t>
        </is>
      </c>
      <c r="C65">
        <f>VLOOKUP($B65,Funds!$A$5:$B$7,2,FALSE)</f>
        <v/>
      </c>
      <c r="D65" s="19">
        <f>VLOOKUP($B65,Funds!$A$5:$F$7,6,FALSE)</f>
        <v/>
      </c>
      <c r="E65" s="23">
        <f>SUMIFS(Transactions!$F:$F,Transactions!$C:$C,$B65,Transactions!$B:$B,$A65,Transactions!$D:$D,"SUBSCRIPTION")</f>
        <v/>
      </c>
      <c r="F65" s="23">
        <f>-SUMIFS(Transactions!$F:$F,Transactions!$C:$C,$B65,Transactions!$B:$B,$A65,Transactions!$D:$D,"REDEMPTION")</f>
        <v/>
      </c>
      <c r="G65" s="19">
        <f>D65+E65+F65</f>
        <v/>
      </c>
      <c r="H65" s="20">
        <f>VLOOKUP($B65,Funds!$A$5:$G$7,7,FALSE)</f>
        <v/>
      </c>
      <c r="I65" s="20">
        <f>SUMIFS(Transactions!$I:$I,Transactions!$C:$C,$B65,Transactions!$B:$B,$A65)</f>
        <v/>
      </c>
      <c r="J65" s="20">
        <f>IF($A65=EOMONTH($A65,0),O65,0)</f>
        <v/>
      </c>
      <c r="K65" s="20">
        <f>H65+I65-J65</f>
        <v/>
      </c>
      <c r="L65" s="20" t="n">
        <v>136099374.91</v>
      </c>
      <c r="M65" s="20">
        <f>K65+L65</f>
        <v/>
      </c>
      <c r="N65" s="20">
        <f>VLOOKUP($B65,Funds!$A$5:$E$7,5,FALSE)*VLOOKUP($B65,Funds!$A$5:$F$7,6,FALSE)</f>
        <v/>
      </c>
      <c r="O65" s="24">
        <f>N65*VLOOKUP($B65,Funds!$A$5:$D$7,4,FALSE)/36500</f>
        <v/>
      </c>
      <c r="P65" s="24">
        <f>O65-J65</f>
        <v/>
      </c>
      <c r="Q65" s="20">
        <f>M65-P65</f>
        <v/>
      </c>
      <c r="R65" s="18">
        <f>Q65/G65</f>
        <v/>
      </c>
      <c r="S65" s="28">
        <f>R65/VLOOKUP($B65,Funds!$A$5:$E$7,5,FALSE)-1</f>
        <v/>
      </c>
    </row>
    <row r="66">
      <c r="A66" s="22" t="n">
        <v>46261</v>
      </c>
      <c r="B66" t="inlineStr">
        <is>
          <t>GAMMA_BAL</t>
        </is>
      </c>
      <c r="C66">
        <f>VLOOKUP($B66,Funds!$A$5:$B$7,2,FALSE)</f>
        <v/>
      </c>
      <c r="D66" s="19">
        <f>G65</f>
        <v/>
      </c>
      <c r="E66" s="23">
        <f>SUMIFS(Transactions!$F:$F,Transactions!$C:$C,$B66,Transactions!$B:$B,$A66,Transactions!$D:$D,"SUBSCRIPTION")</f>
        <v/>
      </c>
      <c r="F66" s="23">
        <f>-SUMIFS(Transactions!$F:$F,Transactions!$C:$C,$B66,Transactions!$B:$B,$A66,Transactions!$D:$D,"REDEMPTION")</f>
        <v/>
      </c>
      <c r="G66" s="19">
        <f>D66+E66+F66</f>
        <v/>
      </c>
      <c r="H66" s="20">
        <f>K65</f>
        <v/>
      </c>
      <c r="I66" s="20">
        <f>SUMIFS(Transactions!$I:$I,Transactions!$C:$C,$B66,Transactions!$B:$B,$A66)</f>
        <v/>
      </c>
      <c r="J66" s="20">
        <f>IF($A66=EOMONTH($A66,0),P65+O66,0)</f>
        <v/>
      </c>
      <c r="K66" s="20">
        <f>H66+I66-J66</f>
        <v/>
      </c>
      <c r="L66" s="20" t="n">
        <v>135601679.89</v>
      </c>
      <c r="M66" s="20">
        <f>K66+L66</f>
        <v/>
      </c>
      <c r="N66" s="20">
        <f>Q65</f>
        <v/>
      </c>
      <c r="O66" s="24">
        <f>N66*VLOOKUP($B66,Funds!$A$5:$D$7,4,FALSE)/36500</f>
        <v/>
      </c>
      <c r="P66" s="24">
        <f>P65+O66-J66</f>
        <v/>
      </c>
      <c r="Q66" s="20">
        <f>M66-P66</f>
        <v/>
      </c>
      <c r="R66" s="18">
        <f>Q66/G66</f>
        <v/>
      </c>
      <c r="S66" s="28">
        <f>R66/R65-1</f>
        <v/>
      </c>
    </row>
    <row r="67">
      <c r="A67" s="22" t="n">
        <v>46262</v>
      </c>
      <c r="B67" t="inlineStr">
        <is>
          <t>GAMMA_BAL</t>
        </is>
      </c>
      <c r="C67">
        <f>VLOOKUP($B67,Funds!$A$5:$B$7,2,FALSE)</f>
        <v/>
      </c>
      <c r="D67" s="19">
        <f>G66</f>
        <v/>
      </c>
      <c r="E67" s="23">
        <f>SUMIFS(Transactions!$F:$F,Transactions!$C:$C,$B67,Transactions!$B:$B,$A67,Transactions!$D:$D,"SUBSCRIPTION")</f>
        <v/>
      </c>
      <c r="F67" s="23">
        <f>-SUMIFS(Transactions!$F:$F,Transactions!$C:$C,$B67,Transactions!$B:$B,$A67,Transactions!$D:$D,"REDEMPTION")</f>
        <v/>
      </c>
      <c r="G67" s="19">
        <f>D67+E67+F67</f>
        <v/>
      </c>
      <c r="H67" s="20">
        <f>K66</f>
        <v/>
      </c>
      <c r="I67" s="20">
        <f>SUMIFS(Transactions!$I:$I,Transactions!$C:$C,$B67,Transactions!$B:$B,$A67)</f>
        <v/>
      </c>
      <c r="J67" s="20">
        <f>IF($A67=EOMONTH($A67,0),P66+O67,0)</f>
        <v/>
      </c>
      <c r="K67" s="20">
        <f>H67+I67-J67</f>
        <v/>
      </c>
      <c r="L67" s="20" t="n">
        <v>133410772.44</v>
      </c>
      <c r="M67" s="20">
        <f>K67+L67</f>
        <v/>
      </c>
      <c r="N67" s="20">
        <f>Q66</f>
        <v/>
      </c>
      <c r="O67" s="24">
        <f>N67*VLOOKUP($B67,Funds!$A$5:$D$7,4,FALSE)/36500</f>
        <v/>
      </c>
      <c r="P67" s="24">
        <f>P66+O67-J67</f>
        <v/>
      </c>
      <c r="Q67" s="20">
        <f>M67-P67</f>
        <v/>
      </c>
      <c r="R67" s="18">
        <f>Q67/G67</f>
        <v/>
      </c>
      <c r="S67" s="28">
        <f>R67/R66-1</f>
        <v/>
      </c>
    </row>
    <row r="68">
      <c r="A68" s="22" t="n">
        <v>46265</v>
      </c>
      <c r="B68" t="inlineStr">
        <is>
          <t>GAMMA_BAL</t>
        </is>
      </c>
      <c r="C68">
        <f>VLOOKUP($B68,Funds!$A$5:$B$7,2,FALSE)</f>
        <v/>
      </c>
      <c r="D68" s="19">
        <f>G67</f>
        <v/>
      </c>
      <c r="E68" s="23">
        <f>SUMIFS(Transactions!$F:$F,Transactions!$C:$C,$B68,Transactions!$B:$B,$A68,Transactions!$D:$D,"SUBSCRIPTION")</f>
        <v/>
      </c>
      <c r="F68" s="23">
        <f>-SUMIFS(Transactions!$F:$F,Transactions!$C:$C,$B68,Transactions!$B:$B,$A68,Transactions!$D:$D,"REDEMPTION")</f>
        <v/>
      </c>
      <c r="G68" s="19">
        <f>D68+E68+F68</f>
        <v/>
      </c>
      <c r="H68" s="20">
        <f>K67</f>
        <v/>
      </c>
      <c r="I68" s="20">
        <f>SUMIFS(Transactions!$I:$I,Transactions!$C:$C,$B68,Transactions!$B:$B,$A68)</f>
        <v/>
      </c>
      <c r="J68" s="20">
        <f>IF($A68=EOMONTH($A68,0),P67+O68,0)</f>
        <v/>
      </c>
      <c r="K68" s="20">
        <f>H68+I68-J68</f>
        <v/>
      </c>
      <c r="L68" s="20" t="n">
        <v>131988824.98</v>
      </c>
      <c r="M68" s="20">
        <f>K68+L68</f>
        <v/>
      </c>
      <c r="N68" s="20">
        <f>Q67</f>
        <v/>
      </c>
      <c r="O68" s="24">
        <f>N68*VLOOKUP($B68,Funds!$A$5:$D$7,4,FALSE)/36500</f>
        <v/>
      </c>
      <c r="P68" s="24">
        <f>P67+O68-J68</f>
        <v/>
      </c>
      <c r="Q68" s="20">
        <f>M68-P68</f>
        <v/>
      </c>
      <c r="R68" s="18">
        <f>Q68/G68</f>
        <v/>
      </c>
      <c r="S68" s="28">
        <f>R68/R67-1</f>
        <v/>
      </c>
    </row>
    <row r="69">
      <c r="A69" s="22" t="n">
        <v>46266</v>
      </c>
      <c r="B69" t="inlineStr">
        <is>
          <t>GAMMA_BAL</t>
        </is>
      </c>
      <c r="C69">
        <f>VLOOKUP($B69,Funds!$A$5:$B$7,2,FALSE)</f>
        <v/>
      </c>
      <c r="D69" s="19">
        <f>G68</f>
        <v/>
      </c>
      <c r="E69" s="23">
        <f>SUMIFS(Transactions!$F:$F,Transactions!$C:$C,$B69,Transactions!$B:$B,$A69,Transactions!$D:$D,"SUBSCRIPTION")</f>
        <v/>
      </c>
      <c r="F69" s="23">
        <f>-SUMIFS(Transactions!$F:$F,Transactions!$C:$C,$B69,Transactions!$B:$B,$A69,Transactions!$D:$D,"REDEMPTION")</f>
        <v/>
      </c>
      <c r="G69" s="19">
        <f>D69+E69+F69</f>
        <v/>
      </c>
      <c r="H69" s="20">
        <f>K68</f>
        <v/>
      </c>
      <c r="I69" s="20">
        <f>SUMIFS(Transactions!$I:$I,Transactions!$C:$C,$B69,Transactions!$B:$B,$A69)</f>
        <v/>
      </c>
      <c r="J69" s="20">
        <f>IF($A69=EOMONTH($A69,0),P68+O69,0)</f>
        <v/>
      </c>
      <c r="K69" s="20">
        <f>H69+I69-J69</f>
        <v/>
      </c>
      <c r="L69" s="20" t="n">
        <v>127219507.61</v>
      </c>
      <c r="M69" s="20">
        <f>K69+L69</f>
        <v/>
      </c>
      <c r="N69" s="20">
        <f>Q68</f>
        <v/>
      </c>
      <c r="O69" s="24">
        <f>N69*VLOOKUP($B69,Funds!$A$5:$D$7,4,FALSE)/36500</f>
        <v/>
      </c>
      <c r="P69" s="24">
        <f>P68+O69-J69</f>
        <v/>
      </c>
      <c r="Q69" s="20">
        <f>M69-P69</f>
        <v/>
      </c>
      <c r="R69" s="18">
        <f>Q69/G69</f>
        <v/>
      </c>
      <c r="S69" s="28">
        <f>R69/R68-1</f>
        <v/>
      </c>
    </row>
    <row r="70">
      <c r="A70" s="22" t="n">
        <v>46267</v>
      </c>
      <c r="B70" t="inlineStr">
        <is>
          <t>GAMMA_BAL</t>
        </is>
      </c>
      <c r="C70">
        <f>VLOOKUP($B70,Funds!$A$5:$B$7,2,FALSE)</f>
        <v/>
      </c>
      <c r="D70" s="19">
        <f>G69</f>
        <v/>
      </c>
      <c r="E70" s="23">
        <f>SUMIFS(Transactions!$F:$F,Transactions!$C:$C,$B70,Transactions!$B:$B,$A70,Transactions!$D:$D,"SUBSCRIPTION")</f>
        <v/>
      </c>
      <c r="F70" s="23">
        <f>-SUMIFS(Transactions!$F:$F,Transactions!$C:$C,$B70,Transactions!$B:$B,$A70,Transactions!$D:$D,"REDEMPTION")</f>
        <v/>
      </c>
      <c r="G70" s="19">
        <f>D70+E70+F70</f>
        <v/>
      </c>
      <c r="H70" s="20">
        <f>K69</f>
        <v/>
      </c>
      <c r="I70" s="20">
        <f>SUMIFS(Transactions!$I:$I,Transactions!$C:$C,$B70,Transactions!$B:$B,$A70)</f>
        <v/>
      </c>
      <c r="J70" s="20">
        <f>IF($A70=EOMONTH($A70,0),P69+O70,0)</f>
        <v/>
      </c>
      <c r="K70" s="20">
        <f>H70+I70-J70</f>
        <v/>
      </c>
      <c r="L70" s="20" t="n">
        <v>129215320.54</v>
      </c>
      <c r="M70" s="20">
        <f>K70+L70</f>
        <v/>
      </c>
      <c r="N70" s="20">
        <f>Q69</f>
        <v/>
      </c>
      <c r="O70" s="24">
        <f>N70*VLOOKUP($B70,Funds!$A$5:$D$7,4,FALSE)/36500</f>
        <v/>
      </c>
      <c r="P70" s="24">
        <f>P69+O70-J70</f>
        <v/>
      </c>
      <c r="Q70" s="20">
        <f>M70-P70</f>
        <v/>
      </c>
      <c r="R70" s="18">
        <f>Q70/G70</f>
        <v/>
      </c>
      <c r="S70" s="28">
        <f>R70/R69-1</f>
        <v/>
      </c>
    </row>
    <row r="71">
      <c r="A71" s="22" t="n">
        <v>46268</v>
      </c>
      <c r="B71" t="inlineStr">
        <is>
          <t>GAMMA_BAL</t>
        </is>
      </c>
      <c r="C71">
        <f>VLOOKUP($B71,Funds!$A$5:$B$7,2,FALSE)</f>
        <v/>
      </c>
      <c r="D71" s="19">
        <f>G70</f>
        <v/>
      </c>
      <c r="E71" s="23">
        <f>SUMIFS(Transactions!$F:$F,Transactions!$C:$C,$B71,Transactions!$B:$B,$A71,Transactions!$D:$D,"SUBSCRIPTION")</f>
        <v/>
      </c>
      <c r="F71" s="23">
        <f>-SUMIFS(Transactions!$F:$F,Transactions!$C:$C,$B71,Transactions!$B:$B,$A71,Transactions!$D:$D,"REDEMPTION")</f>
        <v/>
      </c>
      <c r="G71" s="19">
        <f>D71+E71+F71</f>
        <v/>
      </c>
      <c r="H71" s="20">
        <f>K70</f>
        <v/>
      </c>
      <c r="I71" s="20">
        <f>SUMIFS(Transactions!$I:$I,Transactions!$C:$C,$B71,Transactions!$B:$B,$A71)</f>
        <v/>
      </c>
      <c r="J71" s="20">
        <f>IF($A71=EOMONTH($A71,0),P70+O71,0)</f>
        <v/>
      </c>
      <c r="K71" s="20">
        <f>H71+I71-J71</f>
        <v/>
      </c>
      <c r="L71" s="20" t="n">
        <v>125905662.93</v>
      </c>
      <c r="M71" s="20">
        <f>K71+L71</f>
        <v/>
      </c>
      <c r="N71" s="20">
        <f>Q70</f>
        <v/>
      </c>
      <c r="O71" s="24">
        <f>N71*VLOOKUP($B71,Funds!$A$5:$D$7,4,FALSE)/36500</f>
        <v/>
      </c>
      <c r="P71" s="24">
        <f>P70+O71-J71</f>
        <v/>
      </c>
      <c r="Q71" s="20">
        <f>M71-P71</f>
        <v/>
      </c>
      <c r="R71" s="18">
        <f>Q71/G71</f>
        <v/>
      </c>
      <c r="S71" s="28">
        <f>R71/R70-1</f>
        <v/>
      </c>
    </row>
    <row r="72">
      <c r="A72" s="22" t="n">
        <v>46269</v>
      </c>
      <c r="B72" t="inlineStr">
        <is>
          <t>GAMMA_BAL</t>
        </is>
      </c>
      <c r="C72">
        <f>VLOOKUP($B72,Funds!$A$5:$B$7,2,FALSE)</f>
        <v/>
      </c>
      <c r="D72" s="19">
        <f>G71</f>
        <v/>
      </c>
      <c r="E72" s="23">
        <f>SUMIFS(Transactions!$F:$F,Transactions!$C:$C,$B72,Transactions!$B:$B,$A72,Transactions!$D:$D,"SUBSCRIPTION")</f>
        <v/>
      </c>
      <c r="F72" s="23">
        <f>-SUMIFS(Transactions!$F:$F,Transactions!$C:$C,$B72,Transactions!$B:$B,$A72,Transactions!$D:$D,"REDEMPTION")</f>
        <v/>
      </c>
      <c r="G72" s="19">
        <f>D72+E72+F72</f>
        <v/>
      </c>
      <c r="H72" s="20">
        <f>K71</f>
        <v/>
      </c>
      <c r="I72" s="20">
        <f>SUMIFS(Transactions!$I:$I,Transactions!$C:$C,$B72,Transactions!$B:$B,$A72)</f>
        <v/>
      </c>
      <c r="J72" s="20">
        <f>IF($A72=EOMONTH($A72,0),P71+O72,0)</f>
        <v/>
      </c>
      <c r="K72" s="20">
        <f>H72+I72-J72</f>
        <v/>
      </c>
      <c r="L72" s="20" t="n">
        <v>128722390.52</v>
      </c>
      <c r="M72" s="20">
        <f>K72+L72</f>
        <v/>
      </c>
      <c r="N72" s="20">
        <f>Q71</f>
        <v/>
      </c>
      <c r="O72" s="24">
        <f>N72*VLOOKUP($B72,Funds!$A$5:$D$7,4,FALSE)/36500</f>
        <v/>
      </c>
      <c r="P72" s="24">
        <f>P71+O72-J72</f>
        <v/>
      </c>
      <c r="Q72" s="20">
        <f>M72-P72</f>
        <v/>
      </c>
      <c r="R72" s="18">
        <f>Q72/G72</f>
        <v/>
      </c>
      <c r="S72" s="28">
        <f>R72/R71-1</f>
        <v/>
      </c>
    </row>
    <row r="73">
      <c r="A73" s="22" t="n">
        <v>46272</v>
      </c>
      <c r="B73" t="inlineStr">
        <is>
          <t>GAMMA_BAL</t>
        </is>
      </c>
      <c r="C73">
        <f>VLOOKUP($B73,Funds!$A$5:$B$7,2,FALSE)</f>
        <v/>
      </c>
      <c r="D73" s="19">
        <f>G72</f>
        <v/>
      </c>
      <c r="E73" s="23">
        <f>SUMIFS(Transactions!$F:$F,Transactions!$C:$C,$B73,Transactions!$B:$B,$A73,Transactions!$D:$D,"SUBSCRIPTION")</f>
        <v/>
      </c>
      <c r="F73" s="23">
        <f>-SUMIFS(Transactions!$F:$F,Transactions!$C:$C,$B73,Transactions!$B:$B,$A73,Transactions!$D:$D,"REDEMPTION")</f>
        <v/>
      </c>
      <c r="G73" s="19">
        <f>D73+E73+F73</f>
        <v/>
      </c>
      <c r="H73" s="20">
        <f>K72</f>
        <v/>
      </c>
      <c r="I73" s="20">
        <f>SUMIFS(Transactions!$I:$I,Transactions!$C:$C,$B73,Transactions!$B:$B,$A73)</f>
        <v/>
      </c>
      <c r="J73" s="20">
        <f>IF($A73=EOMONTH($A73,0),P72+O73,0)</f>
        <v/>
      </c>
      <c r="K73" s="20">
        <f>H73+I73-J73</f>
        <v/>
      </c>
      <c r="L73" s="20" t="n">
        <v>133082339.96</v>
      </c>
      <c r="M73" s="20">
        <f>K73+L73</f>
        <v/>
      </c>
      <c r="N73" s="20">
        <f>Q72</f>
        <v/>
      </c>
      <c r="O73" s="24">
        <f>N73*VLOOKUP($B73,Funds!$A$5:$D$7,4,FALSE)/36500</f>
        <v/>
      </c>
      <c r="P73" s="24">
        <f>P72+O73-J73</f>
        <v/>
      </c>
      <c r="Q73" s="20">
        <f>M73-P73</f>
        <v/>
      </c>
      <c r="R73" s="18">
        <f>Q73/G73</f>
        <v/>
      </c>
      <c r="S73" s="28">
        <f>R73/R72-1</f>
        <v/>
      </c>
    </row>
    <row r="74">
      <c r="A74" s="22" t="n">
        <v>46273</v>
      </c>
      <c r="B74" t="inlineStr">
        <is>
          <t>GAMMA_BAL</t>
        </is>
      </c>
      <c r="C74">
        <f>VLOOKUP($B74,Funds!$A$5:$B$7,2,FALSE)</f>
        <v/>
      </c>
      <c r="D74" s="19">
        <f>G73</f>
        <v/>
      </c>
      <c r="E74" s="23">
        <f>SUMIFS(Transactions!$F:$F,Transactions!$C:$C,$B74,Transactions!$B:$B,$A74,Transactions!$D:$D,"SUBSCRIPTION")</f>
        <v/>
      </c>
      <c r="F74" s="23">
        <f>-SUMIFS(Transactions!$F:$F,Transactions!$C:$C,$B74,Transactions!$B:$B,$A74,Transactions!$D:$D,"REDEMPTION")</f>
        <v/>
      </c>
      <c r="G74" s="19">
        <f>D74+E74+F74</f>
        <v/>
      </c>
      <c r="H74" s="20">
        <f>K73</f>
        <v/>
      </c>
      <c r="I74" s="20">
        <f>SUMIFS(Transactions!$I:$I,Transactions!$C:$C,$B74,Transactions!$B:$B,$A74)</f>
        <v/>
      </c>
      <c r="J74" s="20">
        <f>IF($A74=EOMONTH($A74,0),P73+O74,0)</f>
        <v/>
      </c>
      <c r="K74" s="20">
        <f>H74+I74-J74</f>
        <v/>
      </c>
      <c r="L74" s="20" t="n">
        <v>133962045.64</v>
      </c>
      <c r="M74" s="20">
        <f>K74+L74</f>
        <v/>
      </c>
      <c r="N74" s="20">
        <f>Q73</f>
        <v/>
      </c>
      <c r="O74" s="24">
        <f>N74*VLOOKUP($B74,Funds!$A$5:$D$7,4,FALSE)/36500</f>
        <v/>
      </c>
      <c r="P74" s="24">
        <f>P73+O74-J74</f>
        <v/>
      </c>
      <c r="Q74" s="20">
        <f>M74-P74</f>
        <v/>
      </c>
      <c r="R74" s="18">
        <f>Q74/G74</f>
        <v/>
      </c>
      <c r="S74" s="28">
        <f>R74/R73-1</f>
        <v/>
      </c>
    </row>
    <row r="75">
      <c r="A75" s="22" t="n">
        <v>46274</v>
      </c>
      <c r="B75" t="inlineStr">
        <is>
          <t>GAMMA_BAL</t>
        </is>
      </c>
      <c r="C75">
        <f>VLOOKUP($B75,Funds!$A$5:$B$7,2,FALSE)</f>
        <v/>
      </c>
      <c r="D75" s="19">
        <f>G74</f>
        <v/>
      </c>
      <c r="E75" s="23">
        <f>SUMIFS(Transactions!$F:$F,Transactions!$C:$C,$B75,Transactions!$B:$B,$A75,Transactions!$D:$D,"SUBSCRIPTION")</f>
        <v/>
      </c>
      <c r="F75" s="23">
        <f>-SUMIFS(Transactions!$F:$F,Transactions!$C:$C,$B75,Transactions!$B:$B,$A75,Transactions!$D:$D,"REDEMPTION")</f>
        <v/>
      </c>
      <c r="G75" s="19">
        <f>D75+E75+F75</f>
        <v/>
      </c>
      <c r="H75" s="20">
        <f>K74</f>
        <v/>
      </c>
      <c r="I75" s="20">
        <f>SUMIFS(Transactions!$I:$I,Transactions!$C:$C,$B75,Transactions!$B:$B,$A75)</f>
        <v/>
      </c>
      <c r="J75" s="20">
        <f>IF($A75=EOMONTH($A75,0),P74+O75,0)</f>
        <v/>
      </c>
      <c r="K75" s="20">
        <f>H75+I75-J75</f>
        <v/>
      </c>
      <c r="L75" s="20" t="n">
        <v>135701626.38</v>
      </c>
      <c r="M75" s="20">
        <f>K75+L75</f>
        <v/>
      </c>
      <c r="N75" s="20">
        <f>Q74</f>
        <v/>
      </c>
      <c r="O75" s="24">
        <f>N75*VLOOKUP($B75,Funds!$A$5:$D$7,4,FALSE)/36500</f>
        <v/>
      </c>
      <c r="P75" s="24">
        <f>P74+O75-J75</f>
        <v/>
      </c>
      <c r="Q75" s="20">
        <f>M75-P75</f>
        <v/>
      </c>
      <c r="R75" s="18">
        <f>Q75/G75</f>
        <v/>
      </c>
      <c r="S75" s="28">
        <f>R75/R74-1</f>
        <v/>
      </c>
    </row>
    <row r="76">
      <c r="A76" s="22" t="n">
        <v>46275</v>
      </c>
      <c r="B76" t="inlineStr">
        <is>
          <t>GAMMA_BAL</t>
        </is>
      </c>
      <c r="C76">
        <f>VLOOKUP($B76,Funds!$A$5:$B$7,2,FALSE)</f>
        <v/>
      </c>
      <c r="D76" s="19">
        <f>G75</f>
        <v/>
      </c>
      <c r="E76" s="23">
        <f>SUMIFS(Transactions!$F:$F,Transactions!$C:$C,$B76,Transactions!$B:$B,$A76,Transactions!$D:$D,"SUBSCRIPTION")</f>
        <v/>
      </c>
      <c r="F76" s="23">
        <f>-SUMIFS(Transactions!$F:$F,Transactions!$C:$C,$B76,Transactions!$B:$B,$A76,Transactions!$D:$D,"REDEMPTION")</f>
        <v/>
      </c>
      <c r="G76" s="19">
        <f>D76+E76+F76</f>
        <v/>
      </c>
      <c r="H76" s="20">
        <f>K75</f>
        <v/>
      </c>
      <c r="I76" s="20">
        <f>SUMIFS(Transactions!$I:$I,Transactions!$C:$C,$B76,Transactions!$B:$B,$A76)</f>
        <v/>
      </c>
      <c r="J76" s="20">
        <f>IF($A76=EOMONTH($A76,0),P75+O76,0)</f>
        <v/>
      </c>
      <c r="K76" s="20">
        <f>H76+I76-J76</f>
        <v/>
      </c>
      <c r="L76" s="20" t="n">
        <v>137010446.49</v>
      </c>
      <c r="M76" s="20">
        <f>K76+L76</f>
        <v/>
      </c>
      <c r="N76" s="20">
        <f>Q75</f>
        <v/>
      </c>
      <c r="O76" s="24">
        <f>N76*VLOOKUP($B76,Funds!$A$5:$D$7,4,FALSE)/36500</f>
        <v/>
      </c>
      <c r="P76" s="24">
        <f>P75+O76-J76</f>
        <v/>
      </c>
      <c r="Q76" s="20">
        <f>M76-P76</f>
        <v/>
      </c>
      <c r="R76" s="18">
        <f>Q76/G76</f>
        <v/>
      </c>
      <c r="S76" s="28">
        <f>R76/R75-1</f>
        <v/>
      </c>
    </row>
    <row r="77">
      <c r="A77" s="22" t="n">
        <v>46276</v>
      </c>
      <c r="B77" t="inlineStr">
        <is>
          <t>GAMMA_BAL</t>
        </is>
      </c>
      <c r="C77">
        <f>VLOOKUP($B77,Funds!$A$5:$B$7,2,FALSE)</f>
        <v/>
      </c>
      <c r="D77" s="19">
        <f>G76</f>
        <v/>
      </c>
      <c r="E77" s="23">
        <f>SUMIFS(Transactions!$F:$F,Transactions!$C:$C,$B77,Transactions!$B:$B,$A77,Transactions!$D:$D,"SUBSCRIPTION")</f>
        <v/>
      </c>
      <c r="F77" s="23">
        <f>-SUMIFS(Transactions!$F:$F,Transactions!$C:$C,$B77,Transactions!$B:$B,$A77,Transactions!$D:$D,"REDEMPTION")</f>
        <v/>
      </c>
      <c r="G77" s="19">
        <f>D77+E77+F77</f>
        <v/>
      </c>
      <c r="H77" s="20">
        <f>K76</f>
        <v/>
      </c>
      <c r="I77" s="20">
        <f>SUMIFS(Transactions!$I:$I,Transactions!$C:$C,$B77,Transactions!$B:$B,$A77)</f>
        <v/>
      </c>
      <c r="J77" s="20">
        <f>IF($A77=EOMONTH($A77,0),P76+O77,0)</f>
        <v/>
      </c>
      <c r="K77" s="20">
        <f>H77+I77-J77</f>
        <v/>
      </c>
      <c r="L77" s="20" t="n">
        <v>134677078.75</v>
      </c>
      <c r="M77" s="20">
        <f>K77+L77</f>
        <v/>
      </c>
      <c r="N77" s="20">
        <f>Q76</f>
        <v/>
      </c>
      <c r="O77" s="24">
        <f>N77*VLOOKUP($B77,Funds!$A$5:$D$7,4,FALSE)/36500</f>
        <v/>
      </c>
      <c r="P77" s="24">
        <f>P76+O77-J77</f>
        <v/>
      </c>
      <c r="Q77" s="20">
        <f>M77-P77</f>
        <v/>
      </c>
      <c r="R77" s="18">
        <f>Q77/G77</f>
        <v/>
      </c>
      <c r="S77" s="28">
        <f>R77/R76-1</f>
        <v/>
      </c>
    </row>
    <row r="78">
      <c r="A78" s="22" t="n">
        <v>46279</v>
      </c>
      <c r="B78" t="inlineStr">
        <is>
          <t>GAMMA_BAL</t>
        </is>
      </c>
      <c r="C78">
        <f>VLOOKUP($B78,Funds!$A$5:$B$7,2,FALSE)</f>
        <v/>
      </c>
      <c r="D78" s="19">
        <f>G77</f>
        <v/>
      </c>
      <c r="E78" s="23">
        <f>SUMIFS(Transactions!$F:$F,Transactions!$C:$C,$B78,Transactions!$B:$B,$A78,Transactions!$D:$D,"SUBSCRIPTION")</f>
        <v/>
      </c>
      <c r="F78" s="23">
        <f>-SUMIFS(Transactions!$F:$F,Transactions!$C:$C,$B78,Transactions!$B:$B,$A78,Transactions!$D:$D,"REDEMPTION")</f>
        <v/>
      </c>
      <c r="G78" s="19">
        <f>D78+E78+F78</f>
        <v/>
      </c>
      <c r="H78" s="20">
        <f>K77</f>
        <v/>
      </c>
      <c r="I78" s="20">
        <f>SUMIFS(Transactions!$I:$I,Transactions!$C:$C,$B78,Transactions!$B:$B,$A78)</f>
        <v/>
      </c>
      <c r="J78" s="20">
        <f>IF($A78=EOMONTH($A78,0),P77+O78,0)</f>
        <v/>
      </c>
      <c r="K78" s="20">
        <f>H78+I78-J78</f>
        <v/>
      </c>
      <c r="L78" s="20" t="n">
        <v>136382578.86</v>
      </c>
      <c r="M78" s="20">
        <f>K78+L78</f>
        <v/>
      </c>
      <c r="N78" s="20">
        <f>Q77</f>
        <v/>
      </c>
      <c r="O78" s="24">
        <f>N78*VLOOKUP($B78,Funds!$A$5:$D$7,4,FALSE)/36500</f>
        <v/>
      </c>
      <c r="P78" s="24">
        <f>P77+O78-J78</f>
        <v/>
      </c>
      <c r="Q78" s="20">
        <f>M78-P78</f>
        <v/>
      </c>
      <c r="R78" s="18">
        <f>Q78/G78</f>
        <v/>
      </c>
      <c r="S78" s="28">
        <f>R78/R77-1</f>
        <v/>
      </c>
    </row>
    <row r="79">
      <c r="A79" s="22" t="n">
        <v>46280</v>
      </c>
      <c r="B79" t="inlineStr">
        <is>
          <t>GAMMA_BAL</t>
        </is>
      </c>
      <c r="C79">
        <f>VLOOKUP($B79,Funds!$A$5:$B$7,2,FALSE)</f>
        <v/>
      </c>
      <c r="D79" s="19">
        <f>G78</f>
        <v/>
      </c>
      <c r="E79" s="23">
        <f>SUMIFS(Transactions!$F:$F,Transactions!$C:$C,$B79,Transactions!$B:$B,$A79,Transactions!$D:$D,"SUBSCRIPTION")</f>
        <v/>
      </c>
      <c r="F79" s="23">
        <f>-SUMIFS(Transactions!$F:$F,Transactions!$C:$C,$B79,Transactions!$B:$B,$A79,Transactions!$D:$D,"REDEMPTION")</f>
        <v/>
      </c>
      <c r="G79" s="19">
        <f>D79+E79+F79</f>
        <v/>
      </c>
      <c r="H79" s="20">
        <f>K78</f>
        <v/>
      </c>
      <c r="I79" s="20">
        <f>SUMIFS(Transactions!$I:$I,Transactions!$C:$C,$B79,Transactions!$B:$B,$A79)</f>
        <v/>
      </c>
      <c r="J79" s="20">
        <f>IF($A79=EOMONTH($A79,0),P78+O79,0)</f>
        <v/>
      </c>
      <c r="K79" s="20">
        <f>H79+I79-J79</f>
        <v/>
      </c>
      <c r="L79" s="20" t="n">
        <v>136849773.89</v>
      </c>
      <c r="M79" s="20">
        <f>K79+L79</f>
        <v/>
      </c>
      <c r="N79" s="20">
        <f>Q78</f>
        <v/>
      </c>
      <c r="O79" s="24">
        <f>N79*VLOOKUP($B79,Funds!$A$5:$D$7,4,FALSE)/36500</f>
        <v/>
      </c>
      <c r="P79" s="24">
        <f>P78+O79-J79</f>
        <v/>
      </c>
      <c r="Q79" s="20">
        <f>M79-P79</f>
        <v/>
      </c>
      <c r="R79" s="18">
        <f>Q79/G79</f>
        <v/>
      </c>
      <c r="S79" s="28">
        <f>R79/R78-1</f>
        <v/>
      </c>
    </row>
    <row r="80">
      <c r="A80" s="22" t="n">
        <v>46281</v>
      </c>
      <c r="B80" t="inlineStr">
        <is>
          <t>GAMMA_BAL</t>
        </is>
      </c>
      <c r="C80">
        <f>VLOOKUP($B80,Funds!$A$5:$B$7,2,FALSE)</f>
        <v/>
      </c>
      <c r="D80" s="19">
        <f>G79</f>
        <v/>
      </c>
      <c r="E80" s="23">
        <f>SUMIFS(Transactions!$F:$F,Transactions!$C:$C,$B80,Transactions!$B:$B,$A80,Transactions!$D:$D,"SUBSCRIPTION")</f>
        <v/>
      </c>
      <c r="F80" s="23">
        <f>-SUMIFS(Transactions!$F:$F,Transactions!$C:$C,$B80,Transactions!$B:$B,$A80,Transactions!$D:$D,"REDEMPTION")</f>
        <v/>
      </c>
      <c r="G80" s="19">
        <f>D80+E80+F80</f>
        <v/>
      </c>
      <c r="H80" s="20">
        <f>K79</f>
        <v/>
      </c>
      <c r="I80" s="20">
        <f>SUMIFS(Transactions!$I:$I,Transactions!$C:$C,$B80,Transactions!$B:$B,$A80)</f>
        <v/>
      </c>
      <c r="J80" s="20">
        <f>IF($A80=EOMONTH($A80,0),P79+O80,0)</f>
        <v/>
      </c>
      <c r="K80" s="20">
        <f>H80+I80-J80</f>
        <v/>
      </c>
      <c r="L80" s="20" t="n">
        <v>136731960.89</v>
      </c>
      <c r="M80" s="20">
        <f>K80+L80</f>
        <v/>
      </c>
      <c r="N80" s="20">
        <f>Q79</f>
        <v/>
      </c>
      <c r="O80" s="24">
        <f>N80*VLOOKUP($B80,Funds!$A$5:$D$7,4,FALSE)/36500</f>
        <v/>
      </c>
      <c r="P80" s="24">
        <f>P79+O80-J80</f>
        <v/>
      </c>
      <c r="Q80" s="20">
        <f>M80-P80</f>
        <v/>
      </c>
      <c r="R80" s="18">
        <f>Q80/G80</f>
        <v/>
      </c>
      <c r="S80" s="28">
        <f>R80/R79-1</f>
        <v/>
      </c>
    </row>
    <row r="81">
      <c r="A81" s="22" t="n">
        <v>46282</v>
      </c>
      <c r="B81" t="inlineStr">
        <is>
          <t>GAMMA_BAL</t>
        </is>
      </c>
      <c r="C81">
        <f>VLOOKUP($B81,Funds!$A$5:$B$7,2,FALSE)</f>
        <v/>
      </c>
      <c r="D81" s="19">
        <f>G80</f>
        <v/>
      </c>
      <c r="E81" s="23">
        <f>SUMIFS(Transactions!$F:$F,Transactions!$C:$C,$B81,Transactions!$B:$B,$A81,Transactions!$D:$D,"SUBSCRIPTION")</f>
        <v/>
      </c>
      <c r="F81" s="23">
        <f>-SUMIFS(Transactions!$F:$F,Transactions!$C:$C,$B81,Transactions!$B:$B,$A81,Transactions!$D:$D,"REDEMPTION")</f>
        <v/>
      </c>
      <c r="G81" s="19">
        <f>D81+E81+F81</f>
        <v/>
      </c>
      <c r="H81" s="20">
        <f>K80</f>
        <v/>
      </c>
      <c r="I81" s="20">
        <f>SUMIFS(Transactions!$I:$I,Transactions!$C:$C,$B81,Transactions!$B:$B,$A81)</f>
        <v/>
      </c>
      <c r="J81" s="20">
        <f>IF($A81=EOMONTH($A81,0),P80+O81,0)</f>
        <v/>
      </c>
      <c r="K81" s="20">
        <f>H81+I81-J81</f>
        <v/>
      </c>
      <c r="L81" s="20" t="n">
        <v>135442313.89</v>
      </c>
      <c r="M81" s="20">
        <f>K81+L81</f>
        <v/>
      </c>
      <c r="N81" s="20">
        <f>Q80</f>
        <v/>
      </c>
      <c r="O81" s="24">
        <f>N81*VLOOKUP($B81,Funds!$A$5:$D$7,4,FALSE)/36500</f>
        <v/>
      </c>
      <c r="P81" s="24">
        <f>P80+O81-J81</f>
        <v/>
      </c>
      <c r="Q81" s="20">
        <f>M81-P81</f>
        <v/>
      </c>
      <c r="R81" s="18">
        <f>Q81/G81</f>
        <v/>
      </c>
      <c r="S81" s="28">
        <f>R81/R80-1</f>
        <v/>
      </c>
    </row>
    <row r="82">
      <c r="A82" s="22" t="n">
        <v>46283</v>
      </c>
      <c r="B82" t="inlineStr">
        <is>
          <t>GAMMA_BAL</t>
        </is>
      </c>
      <c r="C82">
        <f>VLOOKUP($B82,Funds!$A$5:$B$7,2,FALSE)</f>
        <v/>
      </c>
      <c r="D82" s="19">
        <f>G81</f>
        <v/>
      </c>
      <c r="E82" s="23">
        <f>SUMIFS(Transactions!$F:$F,Transactions!$C:$C,$B82,Transactions!$B:$B,$A82,Transactions!$D:$D,"SUBSCRIPTION")</f>
        <v/>
      </c>
      <c r="F82" s="23">
        <f>-SUMIFS(Transactions!$F:$F,Transactions!$C:$C,$B82,Transactions!$B:$B,$A82,Transactions!$D:$D,"REDEMPTION")</f>
        <v/>
      </c>
      <c r="G82" s="19">
        <f>D82+E82+F82</f>
        <v/>
      </c>
      <c r="H82" s="20">
        <f>K81</f>
        <v/>
      </c>
      <c r="I82" s="20">
        <f>SUMIFS(Transactions!$I:$I,Transactions!$C:$C,$B82,Transactions!$B:$B,$A82)</f>
        <v/>
      </c>
      <c r="J82" s="20">
        <f>IF($A82=EOMONTH($A82,0),P81+O82,0)</f>
        <v/>
      </c>
      <c r="K82" s="20">
        <f>H82+I82-J82</f>
        <v/>
      </c>
      <c r="L82" s="20" t="n">
        <v>138139156.59</v>
      </c>
      <c r="M82" s="20">
        <f>K82+L82</f>
        <v/>
      </c>
      <c r="N82" s="20">
        <f>Q81</f>
        <v/>
      </c>
      <c r="O82" s="24">
        <f>N82*VLOOKUP($B82,Funds!$A$5:$D$7,4,FALSE)/36500</f>
        <v/>
      </c>
      <c r="P82" s="24">
        <f>P81+O82-J82</f>
        <v/>
      </c>
      <c r="Q82" s="20">
        <f>M82-P82</f>
        <v/>
      </c>
      <c r="R82" s="18">
        <f>Q82/G82</f>
        <v/>
      </c>
      <c r="S82" s="28">
        <f>R82/R81-1</f>
        <v/>
      </c>
    </row>
    <row r="83">
      <c r="A83" s="22" t="n">
        <v>46286</v>
      </c>
      <c r="B83" t="inlineStr">
        <is>
          <t>GAMMA_BAL</t>
        </is>
      </c>
      <c r="C83">
        <f>VLOOKUP($B83,Funds!$A$5:$B$7,2,FALSE)</f>
        <v/>
      </c>
      <c r="D83" s="19">
        <f>G82</f>
        <v/>
      </c>
      <c r="E83" s="23">
        <f>SUMIFS(Transactions!$F:$F,Transactions!$C:$C,$B83,Transactions!$B:$B,$A83,Transactions!$D:$D,"SUBSCRIPTION")</f>
        <v/>
      </c>
      <c r="F83" s="23">
        <f>-SUMIFS(Transactions!$F:$F,Transactions!$C:$C,$B83,Transactions!$B:$B,$A83,Transactions!$D:$D,"REDEMPTION")</f>
        <v/>
      </c>
      <c r="G83" s="19">
        <f>D83+E83+F83</f>
        <v/>
      </c>
      <c r="H83" s="20">
        <f>K82</f>
        <v/>
      </c>
      <c r="I83" s="20">
        <f>SUMIFS(Transactions!$I:$I,Transactions!$C:$C,$B83,Transactions!$B:$B,$A83)</f>
        <v/>
      </c>
      <c r="J83" s="20">
        <f>IF($A83=EOMONTH($A83,0),P82+O83,0)</f>
        <v/>
      </c>
      <c r="K83" s="20">
        <f>H83+I83-J83</f>
        <v/>
      </c>
      <c r="L83" s="20" t="n">
        <v>127620878.24</v>
      </c>
      <c r="M83" s="20">
        <f>K83+L83</f>
        <v/>
      </c>
      <c r="N83" s="20">
        <f>Q82</f>
        <v/>
      </c>
      <c r="O83" s="24">
        <f>N83*VLOOKUP($B83,Funds!$A$5:$D$7,4,FALSE)/36500</f>
        <v/>
      </c>
      <c r="P83" s="24">
        <f>P82+O83-J83</f>
        <v/>
      </c>
      <c r="Q83" s="20">
        <f>M83-P83</f>
        <v/>
      </c>
      <c r="R83" s="18">
        <f>Q83/G83</f>
        <v/>
      </c>
      <c r="S83" s="28">
        <f>R83/R82-1</f>
        <v/>
      </c>
    </row>
    <row r="84">
      <c r="A84" s="22" t="n">
        <v>46287</v>
      </c>
      <c r="B84" t="inlineStr">
        <is>
          <t>GAMMA_BAL</t>
        </is>
      </c>
      <c r="C84">
        <f>VLOOKUP($B84,Funds!$A$5:$B$7,2,FALSE)</f>
        <v/>
      </c>
      <c r="D84" s="19">
        <f>G83</f>
        <v/>
      </c>
      <c r="E84" s="23">
        <f>SUMIFS(Transactions!$F:$F,Transactions!$C:$C,$B84,Transactions!$B:$B,$A84,Transactions!$D:$D,"SUBSCRIPTION")</f>
        <v/>
      </c>
      <c r="F84" s="23">
        <f>-SUMIFS(Transactions!$F:$F,Transactions!$C:$C,$B84,Transactions!$B:$B,$A84,Transactions!$D:$D,"REDEMPTION")</f>
        <v/>
      </c>
      <c r="G84" s="19">
        <f>D84+E84+F84</f>
        <v/>
      </c>
      <c r="H84" s="20">
        <f>K83</f>
        <v/>
      </c>
      <c r="I84" s="20">
        <f>SUMIFS(Transactions!$I:$I,Transactions!$C:$C,$B84,Transactions!$B:$B,$A84)</f>
        <v/>
      </c>
      <c r="J84" s="20">
        <f>IF($A84=EOMONTH($A84,0),P83+O84,0)</f>
        <v/>
      </c>
      <c r="K84" s="20">
        <f>H84+I84-J84</f>
        <v/>
      </c>
      <c r="L84" s="20" t="n">
        <v>139756052.5</v>
      </c>
      <c r="M84" s="20">
        <f>K84+L84</f>
        <v/>
      </c>
      <c r="N84" s="20">
        <f>Q83</f>
        <v/>
      </c>
      <c r="O84" s="24">
        <f>N84*VLOOKUP($B84,Funds!$A$5:$D$7,4,FALSE)/36500</f>
        <v/>
      </c>
      <c r="P84" s="24">
        <f>P83+O84-J84</f>
        <v/>
      </c>
      <c r="Q84" s="20">
        <f>M84-P84</f>
        <v/>
      </c>
      <c r="R84" s="18">
        <f>Q84/G84</f>
        <v/>
      </c>
      <c r="S84" s="28">
        <f>R84/R83-1</f>
        <v/>
      </c>
    </row>
    <row r="85">
      <c r="A85" s="22" t="n">
        <v>46288</v>
      </c>
      <c r="B85" t="inlineStr">
        <is>
          <t>GAMMA_BAL</t>
        </is>
      </c>
      <c r="C85">
        <f>VLOOKUP($B85,Funds!$A$5:$B$7,2,FALSE)</f>
        <v/>
      </c>
      <c r="D85" s="19">
        <f>G84</f>
        <v/>
      </c>
      <c r="E85" s="23">
        <f>SUMIFS(Transactions!$F:$F,Transactions!$C:$C,$B85,Transactions!$B:$B,$A85,Transactions!$D:$D,"SUBSCRIPTION")</f>
        <v/>
      </c>
      <c r="F85" s="23">
        <f>-SUMIFS(Transactions!$F:$F,Transactions!$C:$C,$B85,Transactions!$B:$B,$A85,Transactions!$D:$D,"REDEMPTION")</f>
        <v/>
      </c>
      <c r="G85" s="19">
        <f>D85+E85+F85</f>
        <v/>
      </c>
      <c r="H85" s="20">
        <f>K84</f>
        <v/>
      </c>
      <c r="I85" s="20">
        <f>SUMIFS(Transactions!$I:$I,Transactions!$C:$C,$B85,Transactions!$B:$B,$A85)</f>
        <v/>
      </c>
      <c r="J85" s="20">
        <f>IF($A85=EOMONTH($A85,0),P84+O85,0)</f>
        <v/>
      </c>
      <c r="K85" s="20">
        <f>H85+I85-J85</f>
        <v/>
      </c>
      <c r="L85" s="20" t="n">
        <v>138546015.25</v>
      </c>
      <c r="M85" s="20">
        <f>K85+L85</f>
        <v/>
      </c>
      <c r="N85" s="20">
        <f>Q84</f>
        <v/>
      </c>
      <c r="O85" s="24">
        <f>N85*VLOOKUP($B85,Funds!$A$5:$D$7,4,FALSE)/36500</f>
        <v/>
      </c>
      <c r="P85" s="24">
        <f>P84+O85-J85</f>
        <v/>
      </c>
      <c r="Q85" s="20">
        <f>M85-P85</f>
        <v/>
      </c>
      <c r="R85" s="18">
        <f>Q85/G85</f>
        <v/>
      </c>
      <c r="S85" s="28">
        <f>R85/R84-1</f>
        <v/>
      </c>
    </row>
    <row r="86">
      <c r="A86" s="22" t="n">
        <v>46289</v>
      </c>
      <c r="B86" t="inlineStr">
        <is>
          <t>GAMMA_BAL</t>
        </is>
      </c>
      <c r="C86">
        <f>VLOOKUP($B86,Funds!$A$5:$B$7,2,FALSE)</f>
        <v/>
      </c>
      <c r="D86" s="19">
        <f>G85</f>
        <v/>
      </c>
      <c r="E86" s="23">
        <f>SUMIFS(Transactions!$F:$F,Transactions!$C:$C,$B86,Transactions!$B:$B,$A86,Transactions!$D:$D,"SUBSCRIPTION")</f>
        <v/>
      </c>
      <c r="F86" s="23">
        <f>-SUMIFS(Transactions!$F:$F,Transactions!$C:$C,$B86,Transactions!$B:$B,$A86,Transactions!$D:$D,"REDEMPTION")</f>
        <v/>
      </c>
      <c r="G86" s="19">
        <f>D86+E86+F86</f>
        <v/>
      </c>
      <c r="H86" s="20">
        <f>K85</f>
        <v/>
      </c>
      <c r="I86" s="20">
        <f>SUMIFS(Transactions!$I:$I,Transactions!$C:$C,$B86,Transactions!$B:$B,$A86)</f>
        <v/>
      </c>
      <c r="J86" s="20">
        <f>IF($A86=EOMONTH($A86,0),P85+O86,0)</f>
        <v/>
      </c>
      <c r="K86" s="20">
        <f>H86+I86-J86</f>
        <v/>
      </c>
      <c r="L86" s="20" t="n">
        <v>145548367.74</v>
      </c>
      <c r="M86" s="20">
        <f>K86+L86</f>
        <v/>
      </c>
      <c r="N86" s="20">
        <f>Q85</f>
        <v/>
      </c>
      <c r="O86" s="24">
        <f>N86*VLOOKUP($B86,Funds!$A$5:$D$7,4,FALSE)/36500</f>
        <v/>
      </c>
      <c r="P86" s="24">
        <f>P85+O86-J86</f>
        <v/>
      </c>
      <c r="Q86" s="20">
        <f>M86-P86</f>
        <v/>
      </c>
      <c r="R86" s="18">
        <f>Q86/G86</f>
        <v/>
      </c>
      <c r="S86" s="28">
        <f>R86/R85-1</f>
        <v/>
      </c>
    </row>
    <row r="87">
      <c r="A87" s="22" t="n">
        <v>46290</v>
      </c>
      <c r="B87" t="inlineStr">
        <is>
          <t>GAMMA_BAL</t>
        </is>
      </c>
      <c r="C87">
        <f>VLOOKUP($B87,Funds!$A$5:$B$7,2,FALSE)</f>
        <v/>
      </c>
      <c r="D87" s="19">
        <f>G86</f>
        <v/>
      </c>
      <c r="E87" s="23">
        <f>SUMIFS(Transactions!$F:$F,Transactions!$C:$C,$B87,Transactions!$B:$B,$A87,Transactions!$D:$D,"SUBSCRIPTION")</f>
        <v/>
      </c>
      <c r="F87" s="23">
        <f>-SUMIFS(Transactions!$F:$F,Transactions!$C:$C,$B87,Transactions!$B:$B,$A87,Transactions!$D:$D,"REDEMPTION")</f>
        <v/>
      </c>
      <c r="G87" s="19">
        <f>D87+E87+F87</f>
        <v/>
      </c>
      <c r="H87" s="20">
        <f>K86</f>
        <v/>
      </c>
      <c r="I87" s="20">
        <f>SUMIFS(Transactions!$I:$I,Transactions!$C:$C,$B87,Transactions!$B:$B,$A87)</f>
        <v/>
      </c>
      <c r="J87" s="20">
        <f>IF($A87=EOMONTH($A87,0),P86+O87,0)</f>
        <v/>
      </c>
      <c r="K87" s="20">
        <f>H87+I87-J87</f>
        <v/>
      </c>
      <c r="L87" s="20" t="n">
        <v>136787411.48</v>
      </c>
      <c r="M87" s="20">
        <f>K87+L87</f>
        <v/>
      </c>
      <c r="N87" s="20">
        <f>Q86</f>
        <v/>
      </c>
      <c r="O87" s="24">
        <f>N87*VLOOKUP($B87,Funds!$A$5:$D$7,4,FALSE)/36500</f>
        <v/>
      </c>
      <c r="P87" s="24">
        <f>P86+O87-J87</f>
        <v/>
      </c>
      <c r="Q87" s="20">
        <f>M87-P87</f>
        <v/>
      </c>
      <c r="R87" s="18">
        <f>Q87/G87</f>
        <v/>
      </c>
      <c r="S87" s="28">
        <f>R87/R86-1</f>
        <v/>
      </c>
    </row>
    <row r="88">
      <c r="A88" s="22" t="n">
        <v>46293</v>
      </c>
      <c r="B88" t="inlineStr">
        <is>
          <t>GAMMA_BAL</t>
        </is>
      </c>
      <c r="C88">
        <f>VLOOKUP($B88,Funds!$A$5:$B$7,2,FALSE)</f>
        <v/>
      </c>
      <c r="D88" s="19">
        <f>G87</f>
        <v/>
      </c>
      <c r="E88" s="23">
        <f>SUMIFS(Transactions!$F:$F,Transactions!$C:$C,$B88,Transactions!$B:$B,$A88,Transactions!$D:$D,"SUBSCRIPTION")</f>
        <v/>
      </c>
      <c r="F88" s="23">
        <f>-SUMIFS(Transactions!$F:$F,Transactions!$C:$C,$B88,Transactions!$B:$B,$A88,Transactions!$D:$D,"REDEMPTION")</f>
        <v/>
      </c>
      <c r="G88" s="19">
        <f>D88+E88+F88</f>
        <v/>
      </c>
      <c r="H88" s="20">
        <f>K87</f>
        <v/>
      </c>
      <c r="I88" s="20">
        <f>SUMIFS(Transactions!$I:$I,Transactions!$C:$C,$B88,Transactions!$B:$B,$A88)</f>
        <v/>
      </c>
      <c r="J88" s="20">
        <f>IF($A88=EOMONTH($A88,0),P87+O88,0)</f>
        <v/>
      </c>
      <c r="K88" s="20">
        <f>H88+I88-J88</f>
        <v/>
      </c>
      <c r="L88" s="20" t="n">
        <v>135229993.18</v>
      </c>
      <c r="M88" s="20">
        <f>K88+L88</f>
        <v/>
      </c>
      <c r="N88" s="20">
        <f>Q87</f>
        <v/>
      </c>
      <c r="O88" s="24">
        <f>N88*VLOOKUP($B88,Funds!$A$5:$D$7,4,FALSE)/36500</f>
        <v/>
      </c>
      <c r="P88" s="24">
        <f>P87+O88-J88</f>
        <v/>
      </c>
      <c r="Q88" s="20">
        <f>M88-P88</f>
        <v/>
      </c>
      <c r="R88" s="18">
        <f>Q88/G88</f>
        <v/>
      </c>
      <c r="S88" s="28">
        <f>R88/R87-1</f>
        <v/>
      </c>
    </row>
    <row r="89">
      <c r="A89" s="22" t="n">
        <v>46294</v>
      </c>
      <c r="B89" t="inlineStr">
        <is>
          <t>GAMMA_BAL</t>
        </is>
      </c>
      <c r="C89">
        <f>VLOOKUP($B89,Funds!$A$5:$B$7,2,FALSE)</f>
        <v/>
      </c>
      <c r="D89" s="19">
        <f>G88</f>
        <v/>
      </c>
      <c r="E89" s="23">
        <f>SUMIFS(Transactions!$F:$F,Transactions!$C:$C,$B89,Transactions!$B:$B,$A89,Transactions!$D:$D,"SUBSCRIPTION")</f>
        <v/>
      </c>
      <c r="F89" s="23">
        <f>-SUMIFS(Transactions!$F:$F,Transactions!$C:$C,$B89,Transactions!$B:$B,$A89,Transactions!$D:$D,"REDEMPTION")</f>
        <v/>
      </c>
      <c r="G89" s="19">
        <f>D89+E89+F89</f>
        <v/>
      </c>
      <c r="H89" s="20">
        <f>K88</f>
        <v/>
      </c>
      <c r="I89" s="20">
        <f>SUMIFS(Transactions!$I:$I,Transactions!$C:$C,$B89,Transactions!$B:$B,$A89)</f>
        <v/>
      </c>
      <c r="J89" s="20">
        <f>IF($A89=EOMONTH($A89,0),P88+O89,0)</f>
        <v/>
      </c>
      <c r="K89" s="20">
        <f>H89+I89-J89</f>
        <v/>
      </c>
      <c r="L89" s="20" t="n">
        <v>133586988.49</v>
      </c>
      <c r="M89" s="20">
        <f>K89+L89</f>
        <v/>
      </c>
      <c r="N89" s="20">
        <f>Q88</f>
        <v/>
      </c>
      <c r="O89" s="24">
        <f>N89*VLOOKUP($B89,Funds!$A$5:$D$7,4,FALSE)/36500</f>
        <v/>
      </c>
      <c r="P89" s="24">
        <f>P88+O89-J89</f>
        <v/>
      </c>
      <c r="Q89" s="20">
        <f>M89-P89</f>
        <v/>
      </c>
      <c r="R89" s="18">
        <f>Q89/G89</f>
        <v/>
      </c>
      <c r="S89" s="28">
        <f>R89/R88-1</f>
        <v/>
      </c>
    </row>
    <row r="90">
      <c r="A90" s="22" t="n">
        <v>46295</v>
      </c>
      <c r="B90" t="inlineStr">
        <is>
          <t>GAMMA_BAL</t>
        </is>
      </c>
      <c r="C90">
        <f>VLOOKUP($B90,Funds!$A$5:$B$7,2,FALSE)</f>
        <v/>
      </c>
      <c r="D90" s="19">
        <f>G89</f>
        <v/>
      </c>
      <c r="E90" s="23">
        <f>SUMIFS(Transactions!$F:$F,Transactions!$C:$C,$B90,Transactions!$B:$B,$A90,Transactions!$D:$D,"SUBSCRIPTION")</f>
        <v/>
      </c>
      <c r="F90" s="23">
        <f>-SUMIFS(Transactions!$F:$F,Transactions!$C:$C,$B90,Transactions!$B:$B,$A90,Transactions!$D:$D,"REDEMPTION")</f>
        <v/>
      </c>
      <c r="G90" s="19">
        <f>D90+E90+F90</f>
        <v/>
      </c>
      <c r="H90" s="20">
        <f>K89</f>
        <v/>
      </c>
      <c r="I90" s="20">
        <f>SUMIFS(Transactions!$I:$I,Transactions!$C:$C,$B90,Transactions!$B:$B,$A90)</f>
        <v/>
      </c>
      <c r="J90" s="20">
        <f>IF($A90=EOMONTH($A90,0),P89+O90,0)</f>
        <v/>
      </c>
      <c r="K90" s="20">
        <f>H90+I90-J90</f>
        <v/>
      </c>
      <c r="L90" s="20" t="n">
        <v>120191615.55</v>
      </c>
      <c r="M90" s="20">
        <f>K90+L90</f>
        <v/>
      </c>
      <c r="N90" s="20">
        <f>Q89</f>
        <v/>
      </c>
      <c r="O90" s="24">
        <f>N90*VLOOKUP($B90,Funds!$A$5:$D$7,4,FALSE)/36500</f>
        <v/>
      </c>
      <c r="P90" s="24">
        <f>P89+O90-J90</f>
        <v/>
      </c>
      <c r="Q90" s="20">
        <f>M90-P90</f>
        <v/>
      </c>
      <c r="R90" s="18">
        <f>Q90/G90</f>
        <v/>
      </c>
      <c r="S90" s="28">
        <f>R90/R89-1</f>
        <v/>
      </c>
    </row>
    <row r="91">
      <c r="A91" s="22" t="n">
        <v>46296</v>
      </c>
      <c r="B91" t="inlineStr">
        <is>
          <t>GAMMA_BAL</t>
        </is>
      </c>
      <c r="C91">
        <f>VLOOKUP($B91,Funds!$A$5:$B$7,2,FALSE)</f>
        <v/>
      </c>
      <c r="D91" s="19">
        <f>G90</f>
        <v/>
      </c>
      <c r="E91" s="23">
        <f>SUMIFS(Transactions!$F:$F,Transactions!$C:$C,$B91,Transactions!$B:$B,$A91,Transactions!$D:$D,"SUBSCRIPTION")</f>
        <v/>
      </c>
      <c r="F91" s="23">
        <f>-SUMIFS(Transactions!$F:$F,Transactions!$C:$C,$B91,Transactions!$B:$B,$A91,Transactions!$D:$D,"REDEMPTION")</f>
        <v/>
      </c>
      <c r="G91" s="19">
        <f>D91+E91+F91</f>
        <v/>
      </c>
      <c r="H91" s="20">
        <f>K90</f>
        <v/>
      </c>
      <c r="I91" s="20">
        <f>SUMIFS(Transactions!$I:$I,Transactions!$C:$C,$B91,Transactions!$B:$B,$A91)</f>
        <v/>
      </c>
      <c r="J91" s="20">
        <f>IF($A91=EOMONTH($A91,0),P90+O91,0)</f>
        <v/>
      </c>
      <c r="K91" s="20">
        <f>H91+I91-J91</f>
        <v/>
      </c>
      <c r="L91" s="20" t="n">
        <v>118542165.35</v>
      </c>
      <c r="M91" s="20">
        <f>K91+L91</f>
        <v/>
      </c>
      <c r="N91" s="20">
        <f>Q90</f>
        <v/>
      </c>
      <c r="O91" s="24">
        <f>N91*VLOOKUP($B91,Funds!$A$5:$D$7,4,FALSE)/36500</f>
        <v/>
      </c>
      <c r="P91" s="24">
        <f>P90+O91-J91</f>
        <v/>
      </c>
      <c r="Q91" s="20">
        <f>M91-P91</f>
        <v/>
      </c>
      <c r="R91" s="18">
        <f>Q91/G91</f>
        <v/>
      </c>
      <c r="S91" s="28">
        <f>R91/R90-1</f>
        <v/>
      </c>
    </row>
    <row r="92">
      <c r="A92" s="22" t="n">
        <v>46297</v>
      </c>
      <c r="B92" t="inlineStr">
        <is>
          <t>GAMMA_BAL</t>
        </is>
      </c>
      <c r="C92">
        <f>VLOOKUP($B92,Funds!$A$5:$B$7,2,FALSE)</f>
        <v/>
      </c>
      <c r="D92" s="19">
        <f>G91</f>
        <v/>
      </c>
      <c r="E92" s="23">
        <f>SUMIFS(Transactions!$F:$F,Transactions!$C:$C,$B92,Transactions!$B:$B,$A92,Transactions!$D:$D,"SUBSCRIPTION")</f>
        <v/>
      </c>
      <c r="F92" s="23">
        <f>-SUMIFS(Transactions!$F:$F,Transactions!$C:$C,$B92,Transactions!$B:$B,$A92,Transactions!$D:$D,"REDEMPTION")</f>
        <v/>
      </c>
      <c r="G92" s="19">
        <f>D92+E92+F92</f>
        <v/>
      </c>
      <c r="H92" s="20">
        <f>K91</f>
        <v/>
      </c>
      <c r="I92" s="20">
        <f>SUMIFS(Transactions!$I:$I,Transactions!$C:$C,$B92,Transactions!$B:$B,$A92)</f>
        <v/>
      </c>
      <c r="J92" s="20">
        <f>IF($A92=EOMONTH($A92,0),P91+O92,0)</f>
        <v/>
      </c>
      <c r="K92" s="20">
        <f>H92+I92-J92</f>
        <v/>
      </c>
      <c r="L92" s="20" t="n">
        <v>125397849.88</v>
      </c>
      <c r="M92" s="20">
        <f>K92+L92</f>
        <v/>
      </c>
      <c r="N92" s="20">
        <f>Q91</f>
        <v/>
      </c>
      <c r="O92" s="24">
        <f>N92*VLOOKUP($B92,Funds!$A$5:$D$7,4,FALSE)/36500</f>
        <v/>
      </c>
      <c r="P92" s="24">
        <f>P91+O92-J92</f>
        <v/>
      </c>
      <c r="Q92" s="20">
        <f>M92-P92</f>
        <v/>
      </c>
      <c r="R92" s="18">
        <f>Q92/G92</f>
        <v/>
      </c>
      <c r="S92" s="28">
        <f>R92/R91-1</f>
        <v/>
      </c>
    </row>
    <row r="93">
      <c r="A93" s="22" t="n">
        <v>46300</v>
      </c>
      <c r="B93" t="inlineStr">
        <is>
          <t>GAMMA_BAL</t>
        </is>
      </c>
      <c r="C93">
        <f>VLOOKUP($B93,Funds!$A$5:$B$7,2,FALSE)</f>
        <v/>
      </c>
      <c r="D93" s="19">
        <f>G92</f>
        <v/>
      </c>
      <c r="E93" s="23">
        <f>SUMIFS(Transactions!$F:$F,Transactions!$C:$C,$B93,Transactions!$B:$B,$A93,Transactions!$D:$D,"SUBSCRIPTION")</f>
        <v/>
      </c>
      <c r="F93" s="23">
        <f>-SUMIFS(Transactions!$F:$F,Transactions!$C:$C,$B93,Transactions!$B:$B,$A93,Transactions!$D:$D,"REDEMPTION")</f>
        <v/>
      </c>
      <c r="G93" s="19">
        <f>D93+E93+F93</f>
        <v/>
      </c>
      <c r="H93" s="20">
        <f>K92</f>
        <v/>
      </c>
      <c r="I93" s="20">
        <f>SUMIFS(Transactions!$I:$I,Transactions!$C:$C,$B93,Transactions!$B:$B,$A93)</f>
        <v/>
      </c>
      <c r="J93" s="20">
        <f>IF($A93=EOMONTH($A93,0),P92+O93,0)</f>
        <v/>
      </c>
      <c r="K93" s="20">
        <f>H93+I93-J93</f>
        <v/>
      </c>
      <c r="L93" s="20" t="n">
        <v>126823439.8</v>
      </c>
      <c r="M93" s="20">
        <f>K93+L93</f>
        <v/>
      </c>
      <c r="N93" s="20">
        <f>Q92</f>
        <v/>
      </c>
      <c r="O93" s="24">
        <f>N93*VLOOKUP($B93,Funds!$A$5:$D$7,4,FALSE)/36500</f>
        <v/>
      </c>
      <c r="P93" s="24">
        <f>P92+O93-J93</f>
        <v/>
      </c>
      <c r="Q93" s="20">
        <f>M93-P93</f>
        <v/>
      </c>
      <c r="R93" s="18">
        <f>Q93/G93</f>
        <v/>
      </c>
      <c r="S93" s="28">
        <f>R93/R92-1</f>
        <v/>
      </c>
    </row>
    <row r="94">
      <c r="A94" s="22" t="n">
        <v>46301</v>
      </c>
      <c r="B94" t="inlineStr">
        <is>
          <t>GAMMA_BAL</t>
        </is>
      </c>
      <c r="C94">
        <f>VLOOKUP($B94,Funds!$A$5:$B$7,2,FALSE)</f>
        <v/>
      </c>
      <c r="D94" s="19">
        <f>G93</f>
        <v/>
      </c>
      <c r="E94" s="23">
        <f>SUMIFS(Transactions!$F:$F,Transactions!$C:$C,$B94,Transactions!$B:$B,$A94,Transactions!$D:$D,"SUBSCRIPTION")</f>
        <v/>
      </c>
      <c r="F94" s="23">
        <f>-SUMIFS(Transactions!$F:$F,Transactions!$C:$C,$B94,Transactions!$B:$B,$A94,Transactions!$D:$D,"REDEMPTION")</f>
        <v/>
      </c>
      <c r="G94" s="19">
        <f>D94+E94+F94</f>
        <v/>
      </c>
      <c r="H94" s="20">
        <f>K93</f>
        <v/>
      </c>
      <c r="I94" s="20">
        <f>SUMIFS(Transactions!$I:$I,Transactions!$C:$C,$B94,Transactions!$B:$B,$A94)</f>
        <v/>
      </c>
      <c r="J94" s="20">
        <f>IF($A94=EOMONTH($A94,0),P93+O94,0)</f>
        <v/>
      </c>
      <c r="K94" s="20">
        <f>H94+I94-J94</f>
        <v/>
      </c>
      <c r="L94" s="20" t="n">
        <v>126319664.08</v>
      </c>
      <c r="M94" s="20">
        <f>K94+L94</f>
        <v/>
      </c>
      <c r="N94" s="20">
        <f>Q93</f>
        <v/>
      </c>
      <c r="O94" s="24">
        <f>N94*VLOOKUP($B94,Funds!$A$5:$D$7,4,FALSE)/36500</f>
        <v/>
      </c>
      <c r="P94" s="24">
        <f>P93+O94-J94</f>
        <v/>
      </c>
      <c r="Q94" s="20">
        <f>M94-P94</f>
        <v/>
      </c>
      <c r="R94" s="18">
        <f>Q94/G94</f>
        <v/>
      </c>
      <c r="S94" s="28">
        <f>R94/R93-1</f>
        <v/>
      </c>
    </row>
  </sheetData>
  <mergeCells count="2"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6" max="6"/>
    <col width="14" customWidth="1" min="7" max="7"/>
    <col width="10" customWidth="1" min="9" max="9"/>
    <col width="9" customWidth="1" min="10" max="10"/>
  </cols>
  <sheetData>
    <row r="1" ht="30" customHeight="1">
      <c r="A1" s="1" t="inlineStr">
        <is>
          <t>CHART SOURCE DATA (LIVE FORMULAS)</t>
        </is>
      </c>
    </row>
    <row r="2" ht="16" customHeight="1">
      <c r="A2" s="2" t="inlineStr">
        <is>
          <t>Feeds the Dashboard charts</t>
        </is>
      </c>
    </row>
    <row r="4">
      <c r="A4" s="25" t="inlineStr">
        <is>
          <t>date</t>
        </is>
      </c>
      <c r="B4" s="25" t="inlineStr">
        <is>
          <t>ALPHA_EQ</t>
        </is>
      </c>
      <c r="C4" s="25" t="inlineStr">
        <is>
          <t>BETA_DEBT</t>
        </is>
      </c>
      <c r="D4" s="25" t="inlineStr">
        <is>
          <t>GAMMA_BAL</t>
        </is>
      </c>
      <c r="F4" s="25" t="inlineStr">
        <is>
          <t>fund</t>
        </is>
      </c>
      <c r="G4" s="25" t="inlineStr">
        <is>
          <t>AUM (INR Cr)</t>
        </is>
      </c>
      <c r="I4" s="25" t="inlineStr">
        <is>
          <t>Status</t>
        </is>
      </c>
      <c r="J4" s="25" t="inlineStr">
        <is>
          <t>Items</t>
        </is>
      </c>
    </row>
    <row r="5">
      <c r="A5" s="29" t="n">
        <v>46260</v>
      </c>
      <c r="B5" s="18">
        <f>SUMIFS(NAV_Calc!$R:$R,NAV_Calc!$B:$B,B$4,NAV_Calc!$A:$A,$A5)</f>
        <v/>
      </c>
      <c r="C5" s="18">
        <f>SUMIFS(NAV_Calc!$R:$R,NAV_Calc!$B:$B,C$4,NAV_Calc!$A:$A,$A5)</f>
        <v/>
      </c>
      <c r="D5" s="18">
        <f>SUMIFS(NAV_Calc!$R:$R,NAV_Calc!$B:$B,D$4,NAV_Calc!$A:$A,$A5)</f>
        <v/>
      </c>
      <c r="F5" t="inlineStr">
        <is>
          <t>ALPHA_EQ</t>
        </is>
      </c>
      <c r="G5" s="30">
        <f>SUMIFS(NAV_Calc!$Q:$Q,NAV_Calc!$B:$B,$F5,NAV_Calc!$A:$A,Dashboard!$C$4)/10000000</f>
        <v/>
      </c>
      <c r="I5" t="inlineStr">
        <is>
          <t>Matched</t>
        </is>
      </c>
      <c r="J5">
        <f>COUNTIF(Recon_Holdings!$I$5:$I$21,"MATCHED")+COUNTIF(Recon_Cash!$E$5:$E$7,"MATCHED")+COUNTIF(Recon_NAV!$F$5:$F$94,"MATCHED")</f>
        <v/>
      </c>
    </row>
    <row r="6">
      <c r="A6" s="29" t="n">
        <v>46261</v>
      </c>
      <c r="B6" s="18">
        <f>SUMIFS(NAV_Calc!$R:$R,NAV_Calc!$B:$B,B$4,NAV_Calc!$A:$A,$A6)</f>
        <v/>
      </c>
      <c r="C6" s="18">
        <f>SUMIFS(NAV_Calc!$R:$R,NAV_Calc!$B:$B,C$4,NAV_Calc!$A:$A,$A6)</f>
        <v/>
      </c>
      <c r="D6" s="18">
        <f>SUMIFS(NAV_Calc!$R:$R,NAV_Calc!$B:$B,D$4,NAV_Calc!$A:$A,$A6)</f>
        <v/>
      </c>
      <c r="F6" t="inlineStr">
        <is>
          <t>BETA_DEBT</t>
        </is>
      </c>
      <c r="G6" s="30">
        <f>SUMIFS(NAV_Calc!$Q:$Q,NAV_Calc!$B:$B,$F6,NAV_Calc!$A:$A,Dashboard!$C$4)/10000000</f>
        <v/>
      </c>
      <c r="I6" t="inlineStr">
        <is>
          <t>Breaks</t>
        </is>
      </c>
      <c r="J6">
        <f>COUNTA(Recon_Holdings!$A$5:$A$21)+COUNTA(Recon_Cash!$A$5:$A$7)+COUNTA(Recon_NAV!$A$5:$A$94)-J5</f>
        <v/>
      </c>
    </row>
    <row r="7">
      <c r="A7" s="29" t="n">
        <v>46262</v>
      </c>
      <c r="B7" s="18">
        <f>SUMIFS(NAV_Calc!$R:$R,NAV_Calc!$B:$B,B$4,NAV_Calc!$A:$A,$A7)</f>
        <v/>
      </c>
      <c r="C7" s="18">
        <f>SUMIFS(NAV_Calc!$R:$R,NAV_Calc!$B:$B,C$4,NAV_Calc!$A:$A,$A7)</f>
        <v/>
      </c>
      <c r="D7" s="18">
        <f>SUMIFS(NAV_Calc!$R:$R,NAV_Calc!$B:$B,D$4,NAV_Calc!$A:$A,$A7)</f>
        <v/>
      </c>
      <c r="F7" t="inlineStr">
        <is>
          <t>GAMMA_BAL</t>
        </is>
      </c>
      <c r="G7" s="30">
        <f>SUMIFS(NAV_Calc!$Q:$Q,NAV_Calc!$B:$B,$F7,NAV_Calc!$A:$A,Dashboard!$C$4)/10000000</f>
        <v/>
      </c>
    </row>
    <row r="8">
      <c r="A8" s="29" t="n">
        <v>46265</v>
      </c>
      <c r="B8" s="18">
        <f>SUMIFS(NAV_Calc!$R:$R,NAV_Calc!$B:$B,B$4,NAV_Calc!$A:$A,$A8)</f>
        <v/>
      </c>
      <c r="C8" s="18">
        <f>SUMIFS(NAV_Calc!$R:$R,NAV_Calc!$B:$B,C$4,NAV_Calc!$A:$A,$A8)</f>
        <v/>
      </c>
      <c r="D8" s="18">
        <f>SUMIFS(NAV_Calc!$R:$R,NAV_Calc!$B:$B,D$4,NAV_Calc!$A:$A,$A8)</f>
        <v/>
      </c>
    </row>
    <row r="9">
      <c r="A9" s="29" t="n">
        <v>46266</v>
      </c>
      <c r="B9" s="18">
        <f>SUMIFS(NAV_Calc!$R:$R,NAV_Calc!$B:$B,B$4,NAV_Calc!$A:$A,$A9)</f>
        <v/>
      </c>
      <c r="C9" s="18">
        <f>SUMIFS(NAV_Calc!$R:$R,NAV_Calc!$B:$B,C$4,NAV_Calc!$A:$A,$A9)</f>
        <v/>
      </c>
      <c r="D9" s="18">
        <f>SUMIFS(NAV_Calc!$R:$R,NAV_Calc!$B:$B,D$4,NAV_Calc!$A:$A,$A9)</f>
        <v/>
      </c>
    </row>
    <row r="10">
      <c r="A10" s="29" t="n">
        <v>46267</v>
      </c>
      <c r="B10" s="18">
        <f>SUMIFS(NAV_Calc!$R:$R,NAV_Calc!$B:$B,B$4,NAV_Calc!$A:$A,$A10)</f>
        <v/>
      </c>
      <c r="C10" s="18">
        <f>SUMIFS(NAV_Calc!$R:$R,NAV_Calc!$B:$B,C$4,NAV_Calc!$A:$A,$A10)</f>
        <v/>
      </c>
      <c r="D10" s="18">
        <f>SUMIFS(NAV_Calc!$R:$R,NAV_Calc!$B:$B,D$4,NAV_Calc!$A:$A,$A10)</f>
        <v/>
      </c>
    </row>
    <row r="11">
      <c r="A11" s="29" t="n">
        <v>46268</v>
      </c>
      <c r="B11" s="18">
        <f>SUMIFS(NAV_Calc!$R:$R,NAV_Calc!$B:$B,B$4,NAV_Calc!$A:$A,$A11)</f>
        <v/>
      </c>
      <c r="C11" s="18">
        <f>SUMIFS(NAV_Calc!$R:$R,NAV_Calc!$B:$B,C$4,NAV_Calc!$A:$A,$A11)</f>
        <v/>
      </c>
      <c r="D11" s="18">
        <f>SUMIFS(NAV_Calc!$R:$R,NAV_Calc!$B:$B,D$4,NAV_Calc!$A:$A,$A11)</f>
        <v/>
      </c>
    </row>
    <row r="12">
      <c r="A12" s="29" t="n">
        <v>46269</v>
      </c>
      <c r="B12" s="18">
        <f>SUMIFS(NAV_Calc!$R:$R,NAV_Calc!$B:$B,B$4,NAV_Calc!$A:$A,$A12)</f>
        <v/>
      </c>
      <c r="C12" s="18">
        <f>SUMIFS(NAV_Calc!$R:$R,NAV_Calc!$B:$B,C$4,NAV_Calc!$A:$A,$A12)</f>
        <v/>
      </c>
      <c r="D12" s="18">
        <f>SUMIFS(NAV_Calc!$R:$R,NAV_Calc!$B:$B,D$4,NAV_Calc!$A:$A,$A12)</f>
        <v/>
      </c>
    </row>
    <row r="13">
      <c r="A13" s="29" t="n">
        <v>46272</v>
      </c>
      <c r="B13" s="18">
        <f>SUMIFS(NAV_Calc!$R:$R,NAV_Calc!$B:$B,B$4,NAV_Calc!$A:$A,$A13)</f>
        <v/>
      </c>
      <c r="C13" s="18">
        <f>SUMIFS(NAV_Calc!$R:$R,NAV_Calc!$B:$B,C$4,NAV_Calc!$A:$A,$A13)</f>
        <v/>
      </c>
      <c r="D13" s="18">
        <f>SUMIFS(NAV_Calc!$R:$R,NAV_Calc!$B:$B,D$4,NAV_Calc!$A:$A,$A13)</f>
        <v/>
      </c>
    </row>
    <row r="14">
      <c r="A14" s="29" t="n">
        <v>46273</v>
      </c>
      <c r="B14" s="18">
        <f>SUMIFS(NAV_Calc!$R:$R,NAV_Calc!$B:$B,B$4,NAV_Calc!$A:$A,$A14)</f>
        <v/>
      </c>
      <c r="C14" s="18">
        <f>SUMIFS(NAV_Calc!$R:$R,NAV_Calc!$B:$B,C$4,NAV_Calc!$A:$A,$A14)</f>
        <v/>
      </c>
      <c r="D14" s="18">
        <f>SUMIFS(NAV_Calc!$R:$R,NAV_Calc!$B:$B,D$4,NAV_Calc!$A:$A,$A14)</f>
        <v/>
      </c>
    </row>
    <row r="15">
      <c r="A15" s="29" t="n">
        <v>46274</v>
      </c>
      <c r="B15" s="18">
        <f>SUMIFS(NAV_Calc!$R:$R,NAV_Calc!$B:$B,B$4,NAV_Calc!$A:$A,$A15)</f>
        <v/>
      </c>
      <c r="C15" s="18">
        <f>SUMIFS(NAV_Calc!$R:$R,NAV_Calc!$B:$B,C$4,NAV_Calc!$A:$A,$A15)</f>
        <v/>
      </c>
      <c r="D15" s="18">
        <f>SUMIFS(NAV_Calc!$R:$R,NAV_Calc!$B:$B,D$4,NAV_Calc!$A:$A,$A15)</f>
        <v/>
      </c>
    </row>
    <row r="16">
      <c r="A16" s="29" t="n">
        <v>46275</v>
      </c>
      <c r="B16" s="18">
        <f>SUMIFS(NAV_Calc!$R:$R,NAV_Calc!$B:$B,B$4,NAV_Calc!$A:$A,$A16)</f>
        <v/>
      </c>
      <c r="C16" s="18">
        <f>SUMIFS(NAV_Calc!$R:$R,NAV_Calc!$B:$B,C$4,NAV_Calc!$A:$A,$A16)</f>
        <v/>
      </c>
      <c r="D16" s="18">
        <f>SUMIFS(NAV_Calc!$R:$R,NAV_Calc!$B:$B,D$4,NAV_Calc!$A:$A,$A16)</f>
        <v/>
      </c>
    </row>
    <row r="17">
      <c r="A17" s="29" t="n">
        <v>46276</v>
      </c>
      <c r="B17" s="18">
        <f>SUMIFS(NAV_Calc!$R:$R,NAV_Calc!$B:$B,B$4,NAV_Calc!$A:$A,$A17)</f>
        <v/>
      </c>
      <c r="C17" s="18">
        <f>SUMIFS(NAV_Calc!$R:$R,NAV_Calc!$B:$B,C$4,NAV_Calc!$A:$A,$A17)</f>
        <v/>
      </c>
      <c r="D17" s="18">
        <f>SUMIFS(NAV_Calc!$R:$R,NAV_Calc!$B:$B,D$4,NAV_Calc!$A:$A,$A17)</f>
        <v/>
      </c>
    </row>
    <row r="18">
      <c r="A18" s="29" t="n">
        <v>46279</v>
      </c>
      <c r="B18" s="18">
        <f>SUMIFS(NAV_Calc!$R:$R,NAV_Calc!$B:$B,B$4,NAV_Calc!$A:$A,$A18)</f>
        <v/>
      </c>
      <c r="C18" s="18">
        <f>SUMIFS(NAV_Calc!$R:$R,NAV_Calc!$B:$B,C$4,NAV_Calc!$A:$A,$A18)</f>
        <v/>
      </c>
      <c r="D18" s="18">
        <f>SUMIFS(NAV_Calc!$R:$R,NAV_Calc!$B:$B,D$4,NAV_Calc!$A:$A,$A18)</f>
        <v/>
      </c>
    </row>
    <row r="19">
      <c r="A19" s="29" t="n">
        <v>46280</v>
      </c>
      <c r="B19" s="18">
        <f>SUMIFS(NAV_Calc!$R:$R,NAV_Calc!$B:$B,B$4,NAV_Calc!$A:$A,$A19)</f>
        <v/>
      </c>
      <c r="C19" s="18">
        <f>SUMIFS(NAV_Calc!$R:$R,NAV_Calc!$B:$B,C$4,NAV_Calc!$A:$A,$A19)</f>
        <v/>
      </c>
      <c r="D19" s="18">
        <f>SUMIFS(NAV_Calc!$R:$R,NAV_Calc!$B:$B,D$4,NAV_Calc!$A:$A,$A19)</f>
        <v/>
      </c>
    </row>
    <row r="20">
      <c r="A20" s="29" t="n">
        <v>46281</v>
      </c>
      <c r="B20" s="18">
        <f>SUMIFS(NAV_Calc!$R:$R,NAV_Calc!$B:$B,B$4,NAV_Calc!$A:$A,$A20)</f>
        <v/>
      </c>
      <c r="C20" s="18">
        <f>SUMIFS(NAV_Calc!$R:$R,NAV_Calc!$B:$B,C$4,NAV_Calc!$A:$A,$A20)</f>
        <v/>
      </c>
      <c r="D20" s="18">
        <f>SUMIFS(NAV_Calc!$R:$R,NAV_Calc!$B:$B,D$4,NAV_Calc!$A:$A,$A20)</f>
        <v/>
      </c>
    </row>
    <row r="21">
      <c r="A21" s="29" t="n">
        <v>46282</v>
      </c>
      <c r="B21" s="18">
        <f>SUMIFS(NAV_Calc!$R:$R,NAV_Calc!$B:$B,B$4,NAV_Calc!$A:$A,$A21)</f>
        <v/>
      </c>
      <c r="C21" s="18">
        <f>SUMIFS(NAV_Calc!$R:$R,NAV_Calc!$B:$B,C$4,NAV_Calc!$A:$A,$A21)</f>
        <v/>
      </c>
      <c r="D21" s="18">
        <f>SUMIFS(NAV_Calc!$R:$R,NAV_Calc!$B:$B,D$4,NAV_Calc!$A:$A,$A21)</f>
        <v/>
      </c>
    </row>
    <row r="22">
      <c r="A22" s="29" t="n">
        <v>46283</v>
      </c>
      <c r="B22" s="18">
        <f>SUMIFS(NAV_Calc!$R:$R,NAV_Calc!$B:$B,B$4,NAV_Calc!$A:$A,$A22)</f>
        <v/>
      </c>
      <c r="C22" s="18">
        <f>SUMIFS(NAV_Calc!$R:$R,NAV_Calc!$B:$B,C$4,NAV_Calc!$A:$A,$A22)</f>
        <v/>
      </c>
      <c r="D22" s="18">
        <f>SUMIFS(NAV_Calc!$R:$R,NAV_Calc!$B:$B,D$4,NAV_Calc!$A:$A,$A22)</f>
        <v/>
      </c>
    </row>
    <row r="23">
      <c r="A23" s="29" t="n">
        <v>46286</v>
      </c>
      <c r="B23" s="18">
        <f>SUMIFS(NAV_Calc!$R:$R,NAV_Calc!$B:$B,B$4,NAV_Calc!$A:$A,$A23)</f>
        <v/>
      </c>
      <c r="C23" s="18">
        <f>SUMIFS(NAV_Calc!$R:$R,NAV_Calc!$B:$B,C$4,NAV_Calc!$A:$A,$A23)</f>
        <v/>
      </c>
      <c r="D23" s="18">
        <f>SUMIFS(NAV_Calc!$R:$R,NAV_Calc!$B:$B,D$4,NAV_Calc!$A:$A,$A23)</f>
        <v/>
      </c>
    </row>
    <row r="24">
      <c r="A24" s="29" t="n">
        <v>46287</v>
      </c>
      <c r="B24" s="18">
        <f>SUMIFS(NAV_Calc!$R:$R,NAV_Calc!$B:$B,B$4,NAV_Calc!$A:$A,$A24)</f>
        <v/>
      </c>
      <c r="C24" s="18">
        <f>SUMIFS(NAV_Calc!$R:$R,NAV_Calc!$B:$B,C$4,NAV_Calc!$A:$A,$A24)</f>
        <v/>
      </c>
      <c r="D24" s="18">
        <f>SUMIFS(NAV_Calc!$R:$R,NAV_Calc!$B:$B,D$4,NAV_Calc!$A:$A,$A24)</f>
        <v/>
      </c>
    </row>
    <row r="25">
      <c r="A25" s="29" t="n">
        <v>46288</v>
      </c>
      <c r="B25" s="18">
        <f>SUMIFS(NAV_Calc!$R:$R,NAV_Calc!$B:$B,B$4,NAV_Calc!$A:$A,$A25)</f>
        <v/>
      </c>
      <c r="C25" s="18">
        <f>SUMIFS(NAV_Calc!$R:$R,NAV_Calc!$B:$B,C$4,NAV_Calc!$A:$A,$A25)</f>
        <v/>
      </c>
      <c r="D25" s="18">
        <f>SUMIFS(NAV_Calc!$R:$R,NAV_Calc!$B:$B,D$4,NAV_Calc!$A:$A,$A25)</f>
        <v/>
      </c>
    </row>
    <row r="26">
      <c r="A26" s="29" t="n">
        <v>46289</v>
      </c>
      <c r="B26" s="18">
        <f>SUMIFS(NAV_Calc!$R:$R,NAV_Calc!$B:$B,B$4,NAV_Calc!$A:$A,$A26)</f>
        <v/>
      </c>
      <c r="C26" s="18">
        <f>SUMIFS(NAV_Calc!$R:$R,NAV_Calc!$B:$B,C$4,NAV_Calc!$A:$A,$A26)</f>
        <v/>
      </c>
      <c r="D26" s="18">
        <f>SUMIFS(NAV_Calc!$R:$R,NAV_Calc!$B:$B,D$4,NAV_Calc!$A:$A,$A26)</f>
        <v/>
      </c>
    </row>
    <row r="27">
      <c r="A27" s="29" t="n">
        <v>46290</v>
      </c>
      <c r="B27" s="18">
        <f>SUMIFS(NAV_Calc!$R:$R,NAV_Calc!$B:$B,B$4,NAV_Calc!$A:$A,$A27)</f>
        <v/>
      </c>
      <c r="C27" s="18">
        <f>SUMIFS(NAV_Calc!$R:$R,NAV_Calc!$B:$B,C$4,NAV_Calc!$A:$A,$A27)</f>
        <v/>
      </c>
      <c r="D27" s="18">
        <f>SUMIFS(NAV_Calc!$R:$R,NAV_Calc!$B:$B,D$4,NAV_Calc!$A:$A,$A27)</f>
        <v/>
      </c>
    </row>
    <row r="28">
      <c r="A28" s="29" t="n">
        <v>46293</v>
      </c>
      <c r="B28" s="18">
        <f>SUMIFS(NAV_Calc!$R:$R,NAV_Calc!$B:$B,B$4,NAV_Calc!$A:$A,$A28)</f>
        <v/>
      </c>
      <c r="C28" s="18">
        <f>SUMIFS(NAV_Calc!$R:$R,NAV_Calc!$B:$B,C$4,NAV_Calc!$A:$A,$A28)</f>
        <v/>
      </c>
      <c r="D28" s="18">
        <f>SUMIFS(NAV_Calc!$R:$R,NAV_Calc!$B:$B,D$4,NAV_Calc!$A:$A,$A28)</f>
        <v/>
      </c>
    </row>
    <row r="29">
      <c r="A29" s="29" t="n">
        <v>46294</v>
      </c>
      <c r="B29" s="18">
        <f>SUMIFS(NAV_Calc!$R:$R,NAV_Calc!$B:$B,B$4,NAV_Calc!$A:$A,$A29)</f>
        <v/>
      </c>
      <c r="C29" s="18">
        <f>SUMIFS(NAV_Calc!$R:$R,NAV_Calc!$B:$B,C$4,NAV_Calc!$A:$A,$A29)</f>
        <v/>
      </c>
      <c r="D29" s="18">
        <f>SUMIFS(NAV_Calc!$R:$R,NAV_Calc!$B:$B,D$4,NAV_Calc!$A:$A,$A29)</f>
        <v/>
      </c>
    </row>
    <row r="30">
      <c r="A30" s="29" t="n">
        <v>46295</v>
      </c>
      <c r="B30" s="18">
        <f>SUMIFS(NAV_Calc!$R:$R,NAV_Calc!$B:$B,B$4,NAV_Calc!$A:$A,$A30)</f>
        <v/>
      </c>
      <c r="C30" s="18">
        <f>SUMIFS(NAV_Calc!$R:$R,NAV_Calc!$B:$B,C$4,NAV_Calc!$A:$A,$A30)</f>
        <v/>
      </c>
      <c r="D30" s="18">
        <f>SUMIFS(NAV_Calc!$R:$R,NAV_Calc!$B:$B,D$4,NAV_Calc!$A:$A,$A30)</f>
        <v/>
      </c>
    </row>
    <row r="31">
      <c r="A31" s="29" t="n">
        <v>46296</v>
      </c>
      <c r="B31" s="18">
        <f>SUMIFS(NAV_Calc!$R:$R,NAV_Calc!$B:$B,B$4,NAV_Calc!$A:$A,$A31)</f>
        <v/>
      </c>
      <c r="C31" s="18">
        <f>SUMIFS(NAV_Calc!$R:$R,NAV_Calc!$B:$B,C$4,NAV_Calc!$A:$A,$A31)</f>
        <v/>
      </c>
      <c r="D31" s="18">
        <f>SUMIFS(NAV_Calc!$R:$R,NAV_Calc!$B:$B,D$4,NAV_Calc!$A:$A,$A31)</f>
        <v/>
      </c>
    </row>
    <row r="32">
      <c r="A32" s="29" t="n">
        <v>46297</v>
      </c>
      <c r="B32" s="18">
        <f>SUMIFS(NAV_Calc!$R:$R,NAV_Calc!$B:$B,B$4,NAV_Calc!$A:$A,$A32)</f>
        <v/>
      </c>
      <c r="C32" s="18">
        <f>SUMIFS(NAV_Calc!$R:$R,NAV_Calc!$B:$B,C$4,NAV_Calc!$A:$A,$A32)</f>
        <v/>
      </c>
      <c r="D32" s="18">
        <f>SUMIFS(NAV_Calc!$R:$R,NAV_Calc!$B:$B,D$4,NAV_Calc!$A:$A,$A32)</f>
        <v/>
      </c>
    </row>
    <row r="33">
      <c r="A33" s="29" t="n">
        <v>46300</v>
      </c>
      <c r="B33" s="18">
        <f>SUMIFS(NAV_Calc!$R:$R,NAV_Calc!$B:$B,B$4,NAV_Calc!$A:$A,$A33)</f>
        <v/>
      </c>
      <c r="C33" s="18">
        <f>SUMIFS(NAV_Calc!$R:$R,NAV_Calc!$B:$B,C$4,NAV_Calc!$A:$A,$A33)</f>
        <v/>
      </c>
      <c r="D33" s="18">
        <f>SUMIFS(NAV_Calc!$R:$R,NAV_Calc!$B:$B,D$4,NAV_Calc!$A:$A,$A33)</f>
        <v/>
      </c>
    </row>
    <row r="34">
      <c r="A34" s="29" t="n">
        <v>46301</v>
      </c>
      <c r="B34" s="18">
        <f>SUMIFS(NAV_Calc!$R:$R,NAV_Calc!$B:$B,B$4,NAV_Calc!$A:$A,$A34)</f>
        <v/>
      </c>
      <c r="C34" s="18">
        <f>SUMIFS(NAV_Calc!$R:$R,NAV_Calc!$B:$B,C$4,NAV_Calc!$A:$A,$A34)</f>
        <v/>
      </c>
      <c r="D34" s="18">
        <f>SUMIFS(NAV_Calc!$R:$R,NAV_Calc!$B:$B,D$4,NAV_Calc!$A:$A,$A34)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3" customWidth="1" min="4" max="4"/>
    <col width="10" customWidth="1" min="5" max="5"/>
    <col width="11" customWidth="1" min="6" max="6"/>
    <col width="14" customWidth="1" min="7" max="7"/>
    <col width="13" customWidth="1" min="8" max="8"/>
    <col width="22" customWidth="1" min="9" max="9"/>
    <col width="14" customWidth="1" min="10" max="10"/>
    <col width="3" customWidth="1" min="11" max="11"/>
    <col width="20" customWidth="1" min="12" max="12"/>
    <col width="12" customWidth="1" min="13" max="13"/>
  </cols>
  <sheetData>
    <row r="1" ht="30" customHeight="1">
      <c r="A1" s="1" t="inlineStr">
        <is>
          <t>RECONCILIATION - HOLDINGS (BOOKS vs CUSTODIAN)</t>
        </is>
      </c>
    </row>
    <row r="2" ht="16" customHeight="1">
      <c r="A2" s="2" t="inlineStr">
        <is>
          <t>Book qty = SUMIFS over Transactions up to the custodian statement date (live formula)</t>
        </is>
      </c>
    </row>
    <row r="4">
      <c r="A4" s="17" t="inlineStr">
        <is>
          <t>fund_code</t>
        </is>
      </c>
      <c r="B4" s="17" t="inlineStr">
        <is>
          <t>symbol</t>
        </is>
      </c>
      <c r="C4" s="17" t="inlineStr">
        <is>
          <t>book_qty (formula)</t>
        </is>
      </c>
      <c r="D4" s="17" t="inlineStr">
        <is>
          <t>custodian_qty</t>
        </is>
      </c>
      <c r="E4" s="17" t="inlineStr">
        <is>
          <t>qty_diff</t>
        </is>
      </c>
      <c r="F4" s="17" t="inlineStr">
        <is>
          <t>book_price</t>
        </is>
      </c>
      <c r="G4" s="17" t="inlineStr">
        <is>
          <t>custodian_price</t>
        </is>
      </c>
      <c r="H4" s="17" t="inlineStr">
        <is>
          <t>price_var_pct</t>
        </is>
      </c>
      <c r="I4" s="17" t="inlineStr">
        <is>
          <t>recon_status</t>
        </is>
      </c>
      <c r="J4" s="17" t="inlineStr">
        <is>
          <t>impact_inr</t>
        </is>
      </c>
      <c r="K4" s="17" t="inlineStr"/>
    </row>
    <row r="5">
      <c r="A5" t="inlineStr">
        <is>
          <t>ALPHA_EQ</t>
        </is>
      </c>
      <c r="B5" t="inlineStr">
        <is>
          <t>HDFCBANK</t>
        </is>
      </c>
      <c r="C5" s="19">
        <f>SUMIFS(Transactions!$G:$G,Transactions!$C:$C,$A5,Transactions!$E:$E,$B5,Transactions!$B:$B,"&lt;="&amp;$M$5)</f>
        <v/>
      </c>
      <c r="D5" s="19" t="n">
        <v>650</v>
      </c>
      <c r="E5" s="19">
        <f>IF($D5="","",$C5-$D5)</f>
        <v/>
      </c>
      <c r="F5" s="21" t="n">
        <v>1707.0177</v>
      </c>
      <c r="G5" s="21" t="n">
        <v>1707.0177</v>
      </c>
      <c r="H5" s="28">
        <f>IF($G5="","",($G5-$F5)/$F5)</f>
        <v/>
      </c>
      <c r="I5">
        <f>IF($D5="","MISSING_IN_CUSTODIAN",IF(ABS($E5)&gt;$M$6,"QTY_BREAK",IF(ABS($H5)&gt;$M$7,"PRICE_BREAK","MATCHED")))</f>
        <v/>
      </c>
      <c r="J5" s="20">
        <f>IF($I5="MATCHED",0,IF($I5="QTY_BREAK",ABS($E5)*$F5,IF($I5="PRICE_BREAK",ABS($G5-$F5)*$C5,$C5*$F5)))</f>
        <v/>
      </c>
      <c r="L5" s="31" t="inlineStr">
        <is>
          <t>custodian_stmt_date</t>
        </is>
      </c>
      <c r="M5" s="22" t="n">
        <v>46300</v>
      </c>
    </row>
    <row r="6">
      <c r="A6" t="inlineStr">
        <is>
          <t>ALPHA_EQ</t>
        </is>
      </c>
      <c r="B6" t="inlineStr">
        <is>
          <t>ICICIBANK</t>
        </is>
      </c>
      <c r="C6" s="19">
        <f>SUMIFS(Transactions!$G:$G,Transactions!$C:$C,$A6,Transactions!$E:$E,$B6,Transactions!$B:$B,"&lt;="&amp;$M$5)</f>
        <v/>
      </c>
      <c r="D6" s="19" t="n">
        <v>19600</v>
      </c>
      <c r="E6" s="19">
        <f>IF($D6="","",$C6-$D6)</f>
        <v/>
      </c>
      <c r="F6" s="21" t="n">
        <v>1339.5522</v>
      </c>
      <c r="G6" s="21" t="n">
        <v>1339.5522</v>
      </c>
      <c r="H6" s="28">
        <f>IF($G6="","",($G6-$F6)/$F6)</f>
        <v/>
      </c>
      <c r="I6">
        <f>IF($D6="","MISSING_IN_CUSTODIAN",IF(ABS($E6)&gt;$M$6,"QTY_BREAK",IF(ABS($H6)&gt;$M$7,"PRICE_BREAK","MATCHED")))</f>
        <v/>
      </c>
      <c r="J6" s="20">
        <f>IF($I6="MATCHED",0,IF($I6="QTY_BREAK",ABS($E6)*$F6,IF($I6="PRICE_BREAK",ABS($G6-$F6)*$C6,$C6*$F6)))</f>
        <v/>
      </c>
      <c r="L6" s="31" t="inlineStr">
        <is>
          <t>qty_tolerance</t>
        </is>
      </c>
      <c r="M6" t="n">
        <v>0</v>
      </c>
    </row>
    <row r="7">
      <c r="A7" t="inlineStr">
        <is>
          <t>ALPHA_EQ</t>
        </is>
      </c>
      <c r="B7" t="inlineStr">
        <is>
          <t>INFY</t>
        </is>
      </c>
      <c r="C7" s="19">
        <f>SUMIFS(Transactions!$G:$G,Transactions!$C:$C,$A7,Transactions!$E:$E,$B7,Transactions!$B:$B,"&lt;="&amp;$M$5)</f>
        <v/>
      </c>
      <c r="D7" s="19" t="n">
        <v>13900</v>
      </c>
      <c r="E7" s="19">
        <f>IF($D7="","",$C7-$D7)</f>
        <v/>
      </c>
      <c r="F7" s="21" t="n">
        <v>1942.6906</v>
      </c>
      <c r="G7" s="21" t="n">
        <v>1942.6906</v>
      </c>
      <c r="H7" s="28">
        <f>IF($G7="","",($G7-$F7)/$F7)</f>
        <v/>
      </c>
      <c r="I7">
        <f>IF($D7="","MISSING_IN_CUSTODIAN",IF(ABS($E7)&gt;$M$6,"QTY_BREAK",IF(ABS($H7)&gt;$M$7,"PRICE_BREAK","MATCHED")))</f>
        <v/>
      </c>
      <c r="J7" s="20">
        <f>IF($I7="MATCHED",0,IF($I7="QTY_BREAK",ABS($E7)*$F7,IF($I7="PRICE_BREAK",ABS($G7-$F7)*$C7,$C7*$F7)))</f>
        <v/>
      </c>
      <c r="L7" s="31" t="inlineStr">
        <is>
          <t>price_tolerance</t>
        </is>
      </c>
      <c r="M7" s="28" t="n">
        <v>0.0001</v>
      </c>
    </row>
    <row r="8">
      <c r="A8" t="inlineStr">
        <is>
          <t>ALPHA_EQ</t>
        </is>
      </c>
      <c r="B8" t="inlineStr">
        <is>
          <t>ITC</t>
        </is>
      </c>
      <c r="C8" s="19">
        <f>SUMIFS(Transactions!$G:$G,Transactions!$C:$C,$A8,Transactions!$E:$E,$B8,Transactions!$B:$B,"&lt;="&amp;$M$5)</f>
        <v/>
      </c>
      <c r="D8" s="19" t="n">
        <v>10700</v>
      </c>
      <c r="E8" s="19">
        <f>IF($D8="","",$C8-$D8)</f>
        <v/>
      </c>
      <c r="F8" s="21" t="n">
        <v>474.2041</v>
      </c>
      <c r="G8" s="21" t="n">
        <v>474.2041</v>
      </c>
      <c r="H8" s="28">
        <f>IF($G8="","",($G8-$F8)/$F8)</f>
        <v/>
      </c>
      <c r="I8">
        <f>IF($D8="","MISSING_IN_CUSTODIAN",IF(ABS($E8)&gt;$M$6,"QTY_BREAK",IF(ABS($H8)&gt;$M$7,"PRICE_BREAK","MATCHED")))</f>
        <v/>
      </c>
      <c r="J8" s="20">
        <f>IF($I8="MATCHED",0,IF($I8="QTY_BREAK",ABS($E8)*$F8,IF($I8="PRICE_BREAK",ABS($G8-$F8)*$C8,$C8*$F8)))</f>
        <v/>
      </c>
    </row>
    <row r="9">
      <c r="A9" t="inlineStr">
        <is>
          <t>ALPHA_EQ</t>
        </is>
      </c>
      <c r="B9" t="inlineStr">
        <is>
          <t>RELIANCE</t>
        </is>
      </c>
      <c r="C9" s="19">
        <f>SUMIFS(Transactions!$G:$G,Transactions!$C:$C,$A9,Transactions!$E:$E,$B9,Transactions!$B:$B,"&lt;="&amp;$M$5)</f>
        <v/>
      </c>
      <c r="D9" s="19" t="n">
        <v>2100</v>
      </c>
      <c r="E9" s="19">
        <f>IF($D9="","",$C9-$D9)</f>
        <v/>
      </c>
      <c r="F9" s="21" t="n">
        <v>1547.948</v>
      </c>
      <c r="G9" s="21" t="n">
        <v>1547.948</v>
      </c>
      <c r="H9" s="28">
        <f>IF($G9="","",($G9-$F9)/$F9)</f>
        <v/>
      </c>
      <c r="I9">
        <f>IF($D9="","MISSING_IN_CUSTODIAN",IF(ABS($E9)&gt;$M$6,"QTY_BREAK",IF(ABS($H9)&gt;$M$7,"PRICE_BREAK","MATCHED")))</f>
        <v/>
      </c>
      <c r="J9" s="20">
        <f>IF($I9="MATCHED",0,IF($I9="QTY_BREAK",ABS($E9)*$F9,IF($I9="PRICE_BREAK",ABS($G9-$F9)*$C9,$C9*$F9)))</f>
        <v/>
      </c>
    </row>
    <row r="10">
      <c r="A10" t="inlineStr">
        <is>
          <t>ALPHA_EQ</t>
        </is>
      </c>
      <c r="B10" t="inlineStr">
        <is>
          <t>TCS</t>
        </is>
      </c>
      <c r="C10" s="19">
        <f>SUMIFS(Transactions!$G:$G,Transactions!$C:$C,$A10,Transactions!$E:$E,$B10,Transactions!$B:$B,"&lt;="&amp;$M$5)</f>
        <v/>
      </c>
      <c r="D10" s="19" t="n">
        <v>9000</v>
      </c>
      <c r="E10" s="19">
        <f>IF($D10="","",$C10-$D10)</f>
        <v/>
      </c>
      <c r="F10" s="21" t="n">
        <v>3834.4002</v>
      </c>
      <c r="G10" s="21" t="n">
        <v>3834.4002</v>
      </c>
      <c r="H10" s="28">
        <f>IF($G10="","",($G10-$F10)/$F10)</f>
        <v/>
      </c>
      <c r="I10">
        <f>IF($D10="","MISSING_IN_CUSTODIAN",IF(ABS($E10)&gt;$M$6,"QTY_BREAK",IF(ABS($H10)&gt;$M$7,"PRICE_BREAK","MATCHED")))</f>
        <v/>
      </c>
      <c r="J10" s="20">
        <f>IF($I10="MATCHED",0,IF($I10="QTY_BREAK",ABS($E10)*$F10,IF($I10="PRICE_BREAK",ABS($G10-$F10)*$C10,$C10*$F10)))</f>
        <v/>
      </c>
    </row>
    <row r="11">
      <c r="A11" t="inlineStr">
        <is>
          <t>BETA_DEBT</t>
        </is>
      </c>
      <c r="B11" t="inlineStr">
        <is>
          <t>CP-TATA</t>
        </is>
      </c>
      <c r="C11" s="19">
        <f>SUMIFS(Transactions!$G:$G,Transactions!$C:$C,$A11,Transactions!$E:$E,$B11,Transactions!$B:$B,"&lt;="&amp;$M$5)</f>
        <v/>
      </c>
      <c r="D11" s="19" t="n">
        <v>198400</v>
      </c>
      <c r="E11" s="19">
        <f>IF($D11="","",$C11-$D11)</f>
        <v/>
      </c>
      <c r="F11" s="21" t="n">
        <v>100.5236</v>
      </c>
      <c r="G11" s="21" t="n">
        <v>100.5236</v>
      </c>
      <c r="H11" s="28">
        <f>IF($G11="","",($G11-$F11)/$F11)</f>
        <v/>
      </c>
      <c r="I11">
        <f>IF($D11="","MISSING_IN_CUSTODIAN",IF(ABS($E11)&gt;$M$6,"QTY_BREAK",IF(ABS($H11)&gt;$M$7,"PRICE_BREAK","MATCHED")))</f>
        <v/>
      </c>
      <c r="J11" s="20">
        <f>IF($I11="MATCHED",0,IF($I11="QTY_BREAK",ABS($E11)*$F11,IF($I11="PRICE_BREAK",ABS($G11-$F11)*$C11,$C11*$F11)))</f>
        <v/>
      </c>
    </row>
    <row r="12">
      <c r="A12" t="inlineStr">
        <is>
          <t>BETA_DEBT</t>
        </is>
      </c>
      <c r="B12" t="inlineStr">
        <is>
          <t>GOI7.26-36</t>
        </is>
      </c>
      <c r="C12" s="19">
        <f>SUMIFS(Transactions!$G:$G,Transactions!$C:$C,$A12,Transactions!$E:$E,$B12,Transactions!$B:$B,"&lt;="&amp;$M$5)</f>
        <v/>
      </c>
      <c r="D12" s="19" t="n">
        <v>577200</v>
      </c>
      <c r="E12" s="19">
        <f>IF($D12="","",$C12-$D12)</f>
        <v/>
      </c>
      <c r="F12" s="21" t="n">
        <v>103.1117</v>
      </c>
      <c r="G12" s="21" t="n">
        <v>103.1117</v>
      </c>
      <c r="H12" s="28">
        <f>IF($G12="","",($G12-$F12)/$F12)</f>
        <v/>
      </c>
      <c r="I12">
        <f>IF($D12="","MISSING_IN_CUSTODIAN",IF(ABS($E12)&gt;$M$6,"QTY_BREAK",IF(ABS($H12)&gt;$M$7,"PRICE_BREAK","MATCHED")))</f>
        <v/>
      </c>
      <c r="J12" s="20">
        <f>IF($I12="MATCHED",0,IF($I12="QTY_BREAK",ABS($E12)*$F12,IF($I12="PRICE_BREAK",ABS($G12-$F12)*$C12,$C12*$F12)))</f>
        <v/>
      </c>
    </row>
    <row r="13">
      <c r="A13" t="inlineStr">
        <is>
          <t>BETA_DEBT</t>
        </is>
      </c>
      <c r="B13" t="inlineStr">
        <is>
          <t>GOI8.2-33</t>
        </is>
      </c>
      <c r="C13" s="19">
        <f>SUMIFS(Transactions!$G:$G,Transactions!$C:$C,$A13,Transactions!$E:$E,$B13,Transactions!$B:$B,"&lt;="&amp;$M$5)</f>
        <v/>
      </c>
      <c r="D13" s="19" t="n">
        <v>451200</v>
      </c>
      <c r="E13" s="19">
        <f>IF($D13="","",$C13-$D13)</f>
        <v/>
      </c>
      <c r="F13" s="21" t="n">
        <v>109.1682</v>
      </c>
      <c r="G13" s="21" t="n">
        <v>109.1682</v>
      </c>
      <c r="H13" s="28">
        <f>IF($G13="","",($G13-$F13)/$F13)</f>
        <v/>
      </c>
      <c r="I13">
        <f>IF($D13="","MISSING_IN_CUSTODIAN",IF(ABS($E13)&gt;$M$6,"QTY_BREAK",IF(ABS($H13)&gt;$M$7,"PRICE_BREAK","MATCHED")))</f>
        <v/>
      </c>
      <c r="J13" s="20">
        <f>IF($I13="MATCHED",0,IF($I13="QTY_BREAK",ABS($E13)*$F13,IF($I13="PRICE_BREAK",ABS($G13-$F13)*$C13,$C13*$F13)))</f>
        <v/>
      </c>
    </row>
    <row r="14">
      <c r="A14" t="inlineStr">
        <is>
          <t>BETA_DEBT</t>
        </is>
      </c>
      <c r="B14" t="inlineStr">
        <is>
          <t>NCD-REL</t>
        </is>
      </c>
      <c r="C14" s="19">
        <f>SUMIFS(Transactions!$G:$G,Transactions!$C:$C,$A14,Transactions!$E:$E,$B14,Transactions!$B:$B,"&lt;="&amp;$M$5)</f>
        <v/>
      </c>
      <c r="E14" s="19">
        <f>IF($D14="","",$C14-$D14)</f>
        <v/>
      </c>
      <c r="F14" s="21" t="n">
        <v>979.4888999999999</v>
      </c>
      <c r="H14" s="28">
        <f>IF($G14="","",($G14-$F14)/$F14)</f>
        <v/>
      </c>
      <c r="I14">
        <f>IF($D14="","MISSING_IN_CUSTODIAN",IF(ABS($E14)&gt;$M$6,"QTY_BREAK",IF(ABS($H14)&gt;$M$7,"PRICE_BREAK","MATCHED")))</f>
        <v/>
      </c>
      <c r="J14" s="20">
        <f>IF($I14="MATCHED",0,IF($I14="QTY_BREAK",ABS($E14)*$F14,IF($I14="PRICE_BREAK",ABS($G14-$F14)*$C14,$C14*$F14)))</f>
        <v/>
      </c>
    </row>
    <row r="15">
      <c r="A15" t="inlineStr">
        <is>
          <t>BETA_DEBT</t>
        </is>
      </c>
      <c r="B15" t="inlineStr">
        <is>
          <t>SDL-MH-32</t>
        </is>
      </c>
      <c r="C15" s="19">
        <f>SUMIFS(Transactions!$G:$G,Transactions!$C:$C,$A15,Transactions!$E:$E,$B15,Transactions!$B:$B,"&lt;="&amp;$M$5)</f>
        <v/>
      </c>
      <c r="D15" s="19" t="n">
        <v>286000</v>
      </c>
      <c r="E15" s="19">
        <f>IF($D15="","",$C15-$D15)</f>
        <v/>
      </c>
      <c r="F15" s="21" t="n">
        <v>104.0976</v>
      </c>
      <c r="G15" s="21" t="n">
        <v>104.0976</v>
      </c>
      <c r="H15" s="28">
        <f>IF($G15="","",($G15-$F15)/$F15)</f>
        <v/>
      </c>
      <c r="I15">
        <f>IF($D15="","MISSING_IN_CUSTODIAN",IF(ABS($E15)&gt;$M$6,"QTY_BREAK",IF(ABS($H15)&gt;$M$7,"PRICE_BREAK","MATCHED")))</f>
        <v/>
      </c>
      <c r="J15" s="20">
        <f>IF($I15="MATCHED",0,IF($I15="QTY_BREAK",ABS($E15)*$F15,IF($I15="PRICE_BREAK",ABS($G15-$F15)*$C15,$C15*$F15)))</f>
        <v/>
      </c>
    </row>
    <row r="16">
      <c r="A16" t="inlineStr">
        <is>
          <t>GAMMA_BAL</t>
        </is>
      </c>
      <c r="B16" t="inlineStr">
        <is>
          <t>GOI7.26-36</t>
        </is>
      </c>
      <c r="C16" s="19">
        <f>SUMIFS(Transactions!$G:$G,Transactions!$C:$C,$A16,Transactions!$E:$E,$B16,Transactions!$B:$B,"&lt;="&amp;$M$5)</f>
        <v/>
      </c>
      <c r="D16" s="19" t="n">
        <v>370900</v>
      </c>
      <c r="E16" s="19">
        <f>IF($D16="","",$C16-$D16)</f>
        <v/>
      </c>
      <c r="F16" s="21" t="n">
        <v>103.1117</v>
      </c>
      <c r="G16" s="21" t="n">
        <v>103.1117</v>
      </c>
      <c r="H16" s="28">
        <f>IF($G16="","",($G16-$F16)/$F16)</f>
        <v/>
      </c>
      <c r="I16">
        <f>IF($D16="","MISSING_IN_CUSTODIAN",IF(ABS($E16)&gt;$M$6,"QTY_BREAK",IF(ABS($H16)&gt;$M$7,"PRICE_BREAK","MATCHED")))</f>
        <v/>
      </c>
      <c r="J16" s="20">
        <f>IF($I16="MATCHED",0,IF($I16="QTY_BREAK",ABS($E16)*$F16,IF($I16="PRICE_BREAK",ABS($G16-$F16)*$C16,$C16*$F16)))</f>
        <v/>
      </c>
    </row>
    <row r="17">
      <c r="A17" t="inlineStr">
        <is>
          <t>GAMMA_BAL</t>
        </is>
      </c>
      <c r="B17" t="inlineStr">
        <is>
          <t>HDFCBANK</t>
        </is>
      </c>
      <c r="C17" s="19">
        <f>SUMIFS(Transactions!$G:$G,Transactions!$C:$C,$A17,Transactions!$E:$E,$B17,Transactions!$B:$B,"&lt;="&amp;$M$5)</f>
        <v/>
      </c>
      <c r="D17" s="19" t="n">
        <v>11500</v>
      </c>
      <c r="E17" s="19">
        <f>IF($D17="","",$C17-$D17)</f>
        <v/>
      </c>
      <c r="F17" s="21" t="n">
        <v>1707.0177</v>
      </c>
      <c r="G17" s="21" t="n">
        <v>1707.0177</v>
      </c>
      <c r="H17" s="28">
        <f>IF($G17="","",($G17-$F17)/$F17)</f>
        <v/>
      </c>
      <c r="I17">
        <f>IF($D17="","MISSING_IN_CUSTODIAN",IF(ABS($E17)&gt;$M$6,"QTY_BREAK",IF(ABS($H17)&gt;$M$7,"PRICE_BREAK","MATCHED")))</f>
        <v/>
      </c>
      <c r="J17" s="20">
        <f>IF($I17="MATCHED",0,IF($I17="QTY_BREAK",ABS($E17)*$F17,IF($I17="PRICE_BREAK",ABS($G17-$F17)*$C17,$C17*$F17)))</f>
        <v/>
      </c>
    </row>
    <row r="18">
      <c r="A18" t="inlineStr">
        <is>
          <t>GAMMA_BAL</t>
        </is>
      </c>
      <c r="B18" t="inlineStr">
        <is>
          <t>INFY</t>
        </is>
      </c>
      <c r="C18" s="19">
        <f>SUMIFS(Transactions!$G:$G,Transactions!$C:$C,$A18,Transactions!$E:$E,$B18,Transactions!$B:$B,"&lt;="&amp;$M$5)</f>
        <v/>
      </c>
      <c r="D18" s="19" t="n">
        <v>3900</v>
      </c>
      <c r="E18" s="19">
        <f>IF($D18="","",$C18-$D18)</f>
        <v/>
      </c>
      <c r="F18" s="21" t="n">
        <v>1942.6906</v>
      </c>
      <c r="G18" s="21" t="n">
        <v>1942.6906</v>
      </c>
      <c r="H18" s="28">
        <f>IF($G18="","",($G18-$F18)/$F18)</f>
        <v/>
      </c>
      <c r="I18">
        <f>IF($D18="","MISSING_IN_CUSTODIAN",IF(ABS($E18)&gt;$M$6,"QTY_BREAK",IF(ABS($H18)&gt;$M$7,"PRICE_BREAK","MATCHED")))</f>
        <v/>
      </c>
      <c r="J18" s="20">
        <f>IF($I18="MATCHED",0,IF($I18="QTY_BREAK",ABS($E18)*$F18,IF($I18="PRICE_BREAK",ABS($G18-$F18)*$C18,$C18*$F18)))</f>
        <v/>
      </c>
    </row>
    <row r="19">
      <c r="A19" t="inlineStr">
        <is>
          <t>GAMMA_BAL</t>
        </is>
      </c>
      <c r="B19" t="inlineStr">
        <is>
          <t>LT</t>
        </is>
      </c>
      <c r="C19" s="19">
        <f>SUMIFS(Transactions!$G:$G,Transactions!$C:$C,$A19,Transactions!$E:$E,$B19,Transactions!$B:$B,"&lt;="&amp;$M$5)</f>
        <v/>
      </c>
      <c r="D19" s="19" t="n">
        <v>2200</v>
      </c>
      <c r="E19" s="19">
        <f>IF($D19="","",$C19-$D19)</f>
        <v/>
      </c>
      <c r="F19" s="21" t="n">
        <v>2304.7428</v>
      </c>
      <c r="G19" s="21" t="n">
        <v>2304.7428</v>
      </c>
      <c r="H19" s="28">
        <f>IF($G19="","",($G19-$F19)/$F19)</f>
        <v/>
      </c>
      <c r="I19">
        <f>IF($D19="","MISSING_IN_CUSTODIAN",IF(ABS($E19)&gt;$M$6,"QTY_BREAK",IF(ABS($H19)&gt;$M$7,"PRICE_BREAK","MATCHED")))</f>
        <v/>
      </c>
      <c r="J19" s="20">
        <f>IF($I19="MATCHED",0,IF($I19="QTY_BREAK",ABS($E19)*$F19,IF($I19="PRICE_BREAK",ABS($G19-$F19)*$C19,$C19*$F19)))</f>
        <v/>
      </c>
    </row>
    <row r="20">
      <c r="A20" t="inlineStr">
        <is>
          <t>GAMMA_BAL</t>
        </is>
      </c>
      <c r="B20" t="inlineStr">
        <is>
          <t>MARUTI</t>
        </is>
      </c>
      <c r="C20" s="19">
        <f>SUMIFS(Transactions!$G:$G,Transactions!$C:$C,$A20,Transactions!$E:$E,$B20,Transactions!$B:$B,"&lt;="&amp;$M$5)</f>
        <v/>
      </c>
      <c r="D20" s="19" t="n">
        <v>19700</v>
      </c>
      <c r="E20" s="19">
        <f>IF($D20="","",$C20-$D20)</f>
        <v/>
      </c>
      <c r="F20" s="21" t="n">
        <v>1732.9594</v>
      </c>
      <c r="G20" s="21" t="n">
        <v>1741.6242</v>
      </c>
      <c r="H20" s="28">
        <f>IF($G20="","",($G20-$F20)/$F20)</f>
        <v/>
      </c>
      <c r="I20">
        <f>IF($D20="","MISSING_IN_CUSTODIAN",IF(ABS($E20)&gt;$M$6,"QTY_BREAK",IF(ABS($H20)&gt;$M$7,"PRICE_BREAK","MATCHED")))</f>
        <v/>
      </c>
      <c r="J20" s="20">
        <f>IF($I20="MATCHED",0,IF($I20="QTY_BREAK",ABS($E20)*$F20,IF($I20="PRICE_BREAK",ABS($G20-$F20)*$C20,$C20*$F20)))</f>
        <v/>
      </c>
    </row>
    <row r="21">
      <c r="A21" t="inlineStr">
        <is>
          <t>GAMMA_BAL</t>
        </is>
      </c>
      <c r="B21" t="inlineStr">
        <is>
          <t>SDL-MH-32</t>
        </is>
      </c>
      <c r="C21" s="19">
        <f>SUMIFS(Transactions!$G:$G,Transactions!$C:$C,$A21,Transactions!$E:$E,$B21,Transactions!$B:$B,"&lt;="&amp;$M$5)</f>
        <v/>
      </c>
      <c r="D21" s="19" t="n">
        <v>212900</v>
      </c>
      <c r="E21" s="19">
        <f>IF($D21="","",$C21-$D21)</f>
        <v/>
      </c>
      <c r="F21" s="21" t="n">
        <v>104.0976</v>
      </c>
      <c r="G21" s="21" t="n">
        <v>104.0976</v>
      </c>
      <c r="H21" s="28">
        <f>IF($G21="","",($G21-$F21)/$F21)</f>
        <v/>
      </c>
      <c r="I21">
        <f>IF($D21="","MISSING_IN_CUSTODIAN",IF(ABS($E21)&gt;$M$6,"QTY_BREAK",IF(ABS($H21)&gt;$M$7,"PRICE_BREAK","MATCHED")))</f>
        <v/>
      </c>
      <c r="J21" s="20">
        <f>IF($I21="MATCHED",0,IF($I21="QTY_BREAK",ABS($E21)*$F21,IF($I21="PRICE_BREAK",ABS($G21-$F21)*$C21,$C21*$F21)))</f>
        <v/>
      </c>
    </row>
  </sheetData>
  <mergeCells count="2">
    <mergeCell ref="A2:K2"/>
    <mergeCell ref="A1:K1"/>
  </mergeCells>
  <conditionalFormatting sqref="I5:I21">
    <cfRule type="cellIs" priority="1" operator="equal" dxfId="0">
      <formula>"MATCHED"</formula>
    </cfRule>
    <cfRule type="expression" priority="2" dxfId="1">
      <formula>ISNUMBER(SEARCH("BREAK",I5))</formula>
    </cfRule>
    <cfRule type="cellIs" priority="3" operator="equal" dxfId="2">
      <formula>"MISSING_IN_CUSTODIAN"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4" customWidth="1" min="4" max="4"/>
    <col width="15" customWidth="1" min="5" max="5"/>
    <col width="14" customWidth="1" min="6" max="6"/>
  </cols>
  <sheetData>
    <row r="1" ht="30" customHeight="1">
      <c r="A1" s="1" t="inlineStr">
        <is>
          <t>RECONCILIATION - CASH (BOOKS vs BANK)</t>
        </is>
      </c>
    </row>
    <row r="2" ht="16" customHeight="1">
      <c r="A2" s="2" t="inlineStr">
        <is>
          <t>Book cash = NAV_Calc cash_close on the bank statement date (live formula)</t>
        </is>
      </c>
    </row>
    <row r="4">
      <c r="A4" s="17" t="inlineStr">
        <is>
          <t>fund_code</t>
        </is>
      </c>
      <c r="B4" s="17" t="inlineStr">
        <is>
          <t>book_cash (formula)</t>
        </is>
      </c>
      <c r="C4" s="17" t="inlineStr">
        <is>
          <t>bank_balance</t>
        </is>
      </c>
      <c r="D4" s="17" t="inlineStr">
        <is>
          <t>diff_inr</t>
        </is>
      </c>
      <c r="E4" s="17" t="inlineStr">
        <is>
          <t>recon_status</t>
        </is>
      </c>
      <c r="F4" s="17" t="inlineStr">
        <is>
          <t>impact_inr</t>
        </is>
      </c>
    </row>
    <row r="5">
      <c r="A5" t="inlineStr">
        <is>
          <t>ALPHA_EQ</t>
        </is>
      </c>
      <c r="B5" s="20">
        <f>SUMIFS(NAV_Calc!$K:$K,NAV_Calc!$B:$B,$A5,NAV_Calc!$A:$A,$I$5)</f>
        <v/>
      </c>
      <c r="C5" s="20" t="n">
        <v>-4028329.86</v>
      </c>
      <c r="D5" s="20">
        <f>$B5-$C5</f>
        <v/>
      </c>
      <c r="E5">
        <f>IF(ABS($D5)&lt;=$I$6,"MATCHED","AMOUNT_BREAK")</f>
        <v/>
      </c>
      <c r="F5" s="20">
        <f>ABS($D5)</f>
        <v/>
      </c>
      <c r="H5" s="31" t="inlineStr">
        <is>
          <t>bank_stmt_date</t>
        </is>
      </c>
      <c r="I5" s="22" t="n">
        <v>46301</v>
      </c>
    </row>
    <row r="6">
      <c r="A6" t="inlineStr">
        <is>
          <t>BETA_DEBT</t>
        </is>
      </c>
      <c r="B6" s="20">
        <f>SUMIFS(NAV_Calc!$K:$K,NAV_Calc!$B:$B,$A6,NAV_Calc!$A:$A,$I$5)</f>
        <v/>
      </c>
      <c r="C6" s="20" t="n">
        <v>7459343.4</v>
      </c>
      <c r="D6" s="20">
        <f>$B6-$C6</f>
        <v/>
      </c>
      <c r="E6">
        <f>IF(ABS($D6)&lt;=$I$6,"MATCHED","AMOUNT_BREAK")</f>
        <v/>
      </c>
      <c r="F6" s="20">
        <f>ABS($D6)</f>
        <v/>
      </c>
      <c r="H6" s="31" t="inlineStr">
        <is>
          <t>amount_tolerance</t>
        </is>
      </c>
      <c r="I6" s="24" t="n">
        <v>0.5</v>
      </c>
    </row>
    <row r="7">
      <c r="A7" t="inlineStr">
        <is>
          <t>GAMMA_BAL</t>
        </is>
      </c>
      <c r="B7" s="20">
        <f>SUMIFS(NAV_Calc!$K:$K,NAV_Calc!$B:$B,$A7,NAV_Calc!$A:$A,$I$5)</f>
        <v/>
      </c>
      <c r="C7" s="20" t="n">
        <v>11778222.82</v>
      </c>
      <c r="D7" s="20">
        <f>$B7-$C7</f>
        <v/>
      </c>
      <c r="E7">
        <f>IF(ABS($D7)&lt;=$I$6,"MATCHED","AMOUNT_BREAK")</f>
        <v/>
      </c>
      <c r="F7" s="20">
        <f>ABS($D7)</f>
        <v/>
      </c>
    </row>
  </sheetData>
  <mergeCells count="2">
    <mergeCell ref="A2:F2"/>
    <mergeCell ref="A1:F1"/>
  </mergeCells>
  <conditionalFormatting sqref="E5:E7">
    <cfRule type="cellIs" priority="1" operator="equal" dxfId="0">
      <formula>"MATCHED"</formula>
    </cfRule>
    <cfRule type="expression" priority="2" dxfId="1">
      <formula>ISNUMBER(SEARCH("BREAK",E5))</formula>
    </cfRule>
    <cfRule type="cellIs" priority="3" operator="equal" dxfId="2">
      <formula>"MISSING_IN_CUSTODIAN"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J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4" customWidth="1" min="4" max="4"/>
    <col width="11" customWidth="1" min="5" max="5"/>
    <col width="14" customWidth="1" min="6" max="6"/>
    <col width="12" customWidth="1" min="7" max="7"/>
    <col width="3" customWidth="1" min="8" max="8"/>
    <col width="18" customWidth="1" min="9" max="9"/>
    <col width="12" customWidth="1" min="10" max="10"/>
  </cols>
  <sheetData>
    <row r="1" ht="30" customHeight="1">
      <c r="A1" s="1" t="inlineStr">
        <is>
          <t>RECONCILIATION - NAV (ENGINE vs RTA PUBLISHED)</t>
        </is>
      </c>
    </row>
    <row r="2" ht="16" customHeight="1">
      <c r="A2" s="2" t="inlineStr">
        <is>
          <t>Book NAV = NAV_Calc nav (live formula); tolerance in cell H5</t>
        </is>
      </c>
    </row>
    <row r="4">
      <c r="A4" s="17" t="inlineStr">
        <is>
          <t>nav_date</t>
        </is>
      </c>
      <c r="B4" s="17" t="inlineStr">
        <is>
          <t>fund_code</t>
        </is>
      </c>
      <c r="C4" s="17" t="inlineStr">
        <is>
          <t>book_nav (formula)</t>
        </is>
      </c>
      <c r="D4" s="17" t="inlineStr">
        <is>
          <t>published_nav</t>
        </is>
      </c>
      <c r="E4" s="17" t="inlineStr">
        <is>
          <t>var_pct</t>
        </is>
      </c>
      <c r="F4" s="17" t="inlineStr">
        <is>
          <t>recon_status</t>
        </is>
      </c>
      <c r="G4" s="17" t="inlineStr">
        <is>
          <t>abs_var_pct</t>
        </is>
      </c>
    </row>
    <row r="5">
      <c r="A5" s="22" t="n">
        <v>46260</v>
      </c>
      <c r="B5" t="inlineStr">
        <is>
          <t>ALPHA_EQ</t>
        </is>
      </c>
      <c r="C5" s="18">
        <f>SUMIFS(NAV_Calc!$R:$R,NAV_Calc!$B:$B,$B5,NAV_Calc!$A:$A,$A5)</f>
        <v/>
      </c>
      <c r="D5" s="18" t="n">
        <v>9.943427</v>
      </c>
      <c r="E5" s="28">
        <f>($D5-$C5)/$C5</f>
        <v/>
      </c>
      <c r="F5">
        <f>IF(ABS($E5)&lt;=$J$5,"MATCHED","NAV_BREAK")</f>
        <v/>
      </c>
      <c r="G5" s="28">
        <f>ABS($E5)</f>
        <v/>
      </c>
      <c r="I5" s="31" t="inlineStr">
        <is>
          <t>nav_tolerance -&gt;</t>
        </is>
      </c>
      <c r="J5" s="28" t="n">
        <v>0.0005</v>
      </c>
    </row>
    <row r="6">
      <c r="A6" s="22" t="n">
        <v>46260</v>
      </c>
      <c r="B6" t="inlineStr">
        <is>
          <t>BETA_DEBT</t>
        </is>
      </c>
      <c r="C6" s="18">
        <f>SUMIFS(NAV_Calc!$R:$R,NAV_Calc!$B:$B,$B6,NAV_Calc!$A:$A,$A6)</f>
        <v/>
      </c>
      <c r="D6" s="18" t="n">
        <v>9.99033</v>
      </c>
      <c r="E6" s="28">
        <f>($D6-$C6)/$C6</f>
        <v/>
      </c>
      <c r="F6">
        <f>IF(ABS($E6)&lt;=$J$5,"MATCHED","NAV_BREAK")</f>
        <v/>
      </c>
      <c r="G6" s="28">
        <f>ABS($E6)</f>
        <v/>
      </c>
    </row>
    <row r="7">
      <c r="A7" s="22" t="n">
        <v>46260</v>
      </c>
      <c r="B7" t="inlineStr">
        <is>
          <t>GAMMA_BAL</t>
        </is>
      </c>
      <c r="C7" s="18">
        <f>SUMIFS(NAV_Calc!$R:$R,NAV_Calc!$B:$B,$B7,NAV_Calc!$A:$A,$A7)</f>
        <v/>
      </c>
      <c r="D7" s="18" t="n">
        <v>9.991182</v>
      </c>
      <c r="E7" s="28">
        <f>($D7-$C7)/$C7</f>
        <v/>
      </c>
      <c r="F7">
        <f>IF(ABS($E7)&lt;=$J$5,"MATCHED","NAV_BREAK")</f>
        <v/>
      </c>
      <c r="G7" s="28">
        <f>ABS($E7)</f>
        <v/>
      </c>
    </row>
    <row r="8">
      <c r="A8" s="22" t="n">
        <v>46261</v>
      </c>
      <c r="B8" t="inlineStr">
        <is>
          <t>ALPHA_EQ</t>
        </is>
      </c>
      <c r="C8" s="18">
        <f>SUMIFS(NAV_Calc!$R:$R,NAV_Calc!$B:$B,$B8,NAV_Calc!$A:$A,$A8)</f>
        <v/>
      </c>
      <c r="D8" s="18" t="n">
        <v>9.936565</v>
      </c>
      <c r="E8" s="28">
        <f>($D8-$C8)/$C8</f>
        <v/>
      </c>
      <c r="F8">
        <f>IF(ABS($E8)&lt;=$J$5,"MATCHED","NAV_BREAK")</f>
        <v/>
      </c>
      <c r="G8" s="28">
        <f>ABS($E8)</f>
        <v/>
      </c>
    </row>
    <row r="9">
      <c r="A9" s="22" t="n">
        <v>46261</v>
      </c>
      <c r="B9" t="inlineStr">
        <is>
          <t>BETA_DEBT</t>
        </is>
      </c>
      <c r="C9" s="18">
        <f>SUMIFS(NAV_Calc!$R:$R,NAV_Calc!$B:$B,$B9,NAV_Calc!$A:$A,$A9)</f>
        <v/>
      </c>
      <c r="D9" s="18" t="n">
        <v>9.981902</v>
      </c>
      <c r="E9" s="28">
        <f>($D9-$C9)/$C9</f>
        <v/>
      </c>
      <c r="F9">
        <f>IF(ABS($E9)&lt;=$J$5,"MATCHED","NAV_BREAK")</f>
        <v/>
      </c>
      <c r="G9" s="28">
        <f>ABS($E9)</f>
        <v/>
      </c>
    </row>
    <row r="10">
      <c r="A10" s="22" t="n">
        <v>46261</v>
      </c>
      <c r="B10" t="inlineStr">
        <is>
          <t>GAMMA_BAL</t>
        </is>
      </c>
      <c r="C10" s="18">
        <f>SUMIFS(NAV_Calc!$R:$R,NAV_Calc!$B:$B,$B10,NAV_Calc!$A:$A,$A10)</f>
        <v/>
      </c>
      <c r="D10" s="18" t="n">
        <v>9.978247</v>
      </c>
      <c r="E10" s="28">
        <f>($D10-$C10)/$C10</f>
        <v/>
      </c>
      <c r="F10">
        <f>IF(ABS($E10)&lt;=$J$5,"MATCHED","NAV_BREAK")</f>
        <v/>
      </c>
      <c r="G10" s="28">
        <f>ABS($E10)</f>
        <v/>
      </c>
    </row>
    <row r="11">
      <c r="A11" s="22" t="n">
        <v>46262</v>
      </c>
      <c r="B11" t="inlineStr">
        <is>
          <t>ALPHA_EQ</t>
        </is>
      </c>
      <c r="C11" s="18">
        <f>SUMIFS(NAV_Calc!$R:$R,NAV_Calc!$B:$B,$B11,NAV_Calc!$A:$A,$A11)</f>
        <v/>
      </c>
      <c r="D11" s="18" t="n">
        <v>9.933773</v>
      </c>
      <c r="E11" s="28">
        <f>($D11-$C11)/$C11</f>
        <v/>
      </c>
      <c r="F11">
        <f>IF(ABS($E11)&lt;=$J$5,"MATCHED","NAV_BREAK")</f>
        <v/>
      </c>
      <c r="G11" s="28">
        <f>ABS($E11)</f>
        <v/>
      </c>
    </row>
    <row r="12">
      <c r="A12" s="22" t="n">
        <v>46262</v>
      </c>
      <c r="B12" t="inlineStr">
        <is>
          <t>BETA_DEBT</t>
        </is>
      </c>
      <c r="C12" s="18">
        <f>SUMIFS(NAV_Calc!$R:$R,NAV_Calc!$B:$B,$B12,NAV_Calc!$A:$A,$A12)</f>
        <v/>
      </c>
      <c r="D12" s="18" t="n">
        <v>9.982631</v>
      </c>
      <c r="E12" s="28">
        <f>($D12-$C12)/$C12</f>
        <v/>
      </c>
      <c r="F12">
        <f>IF(ABS($E12)&lt;=$J$5,"MATCHED","NAV_BREAK")</f>
        <v/>
      </c>
      <c r="G12" s="28">
        <f>ABS($E12)</f>
        <v/>
      </c>
    </row>
    <row r="13">
      <c r="A13" s="22" t="n">
        <v>46262</v>
      </c>
      <c r="B13" t="inlineStr">
        <is>
          <t>GAMMA_BAL</t>
        </is>
      </c>
      <c r="C13" s="18">
        <f>SUMIFS(NAV_Calc!$R:$R,NAV_Calc!$B:$B,$B13,NAV_Calc!$A:$A,$A13)</f>
        <v/>
      </c>
      <c r="D13" s="18" t="n">
        <v>9.989166000000001</v>
      </c>
      <c r="E13" s="28">
        <f>($D13-$C13)/$C13</f>
        <v/>
      </c>
      <c r="F13">
        <f>IF(ABS($E13)&lt;=$J$5,"MATCHED","NAV_BREAK")</f>
        <v/>
      </c>
      <c r="G13" s="28">
        <f>ABS($E13)</f>
        <v/>
      </c>
    </row>
    <row r="14">
      <c r="A14" s="22" t="n">
        <v>46265</v>
      </c>
      <c r="B14" t="inlineStr">
        <is>
          <t>ALPHA_EQ</t>
        </is>
      </c>
      <c r="C14" s="18">
        <f>SUMIFS(NAV_Calc!$R:$R,NAV_Calc!$B:$B,$B14,NAV_Calc!$A:$A,$A14)</f>
        <v/>
      </c>
      <c r="D14" s="18" t="n">
        <v>9.898301999999999</v>
      </c>
      <c r="E14" s="28">
        <f>($D14-$C14)/$C14</f>
        <v/>
      </c>
      <c r="F14">
        <f>IF(ABS($E14)&lt;=$J$5,"MATCHED","NAV_BREAK")</f>
        <v/>
      </c>
      <c r="G14" s="28">
        <f>ABS($E14)</f>
        <v/>
      </c>
    </row>
    <row r="15">
      <c r="A15" s="22" t="n">
        <v>46265</v>
      </c>
      <c r="B15" t="inlineStr">
        <is>
          <t>BETA_DEBT</t>
        </is>
      </c>
      <c r="C15" s="18">
        <f>SUMIFS(NAV_Calc!$R:$R,NAV_Calc!$B:$B,$B15,NAV_Calc!$A:$A,$A15)</f>
        <v/>
      </c>
      <c r="D15" s="18" t="n">
        <v>9.964211000000001</v>
      </c>
      <c r="E15" s="28">
        <f>($D15-$C15)/$C15</f>
        <v/>
      </c>
      <c r="F15">
        <f>IF(ABS($E15)&lt;=$J$5,"MATCHED","NAV_BREAK")</f>
        <v/>
      </c>
      <c r="G15" s="28">
        <f>ABS($E15)</f>
        <v/>
      </c>
    </row>
    <row r="16">
      <c r="A16" s="22" t="n">
        <v>46265</v>
      </c>
      <c r="B16" t="inlineStr">
        <is>
          <t>GAMMA_BAL</t>
        </is>
      </c>
      <c r="C16" s="18">
        <f>SUMIFS(NAV_Calc!$R:$R,NAV_Calc!$B:$B,$B16,NAV_Calc!$A:$A,$A16)</f>
        <v/>
      </c>
      <c r="D16" s="18" t="n">
        <v>9.948074999999999</v>
      </c>
      <c r="E16" s="28">
        <f>($D16-$C16)/$C16</f>
        <v/>
      </c>
      <c r="F16">
        <f>IF(ABS($E16)&lt;=$J$5,"MATCHED","NAV_BREAK")</f>
        <v/>
      </c>
      <c r="G16" s="28">
        <f>ABS($E16)</f>
        <v/>
      </c>
    </row>
    <row r="17">
      <c r="A17" s="22" t="n">
        <v>46266</v>
      </c>
      <c r="B17" t="inlineStr">
        <is>
          <t>ALPHA_EQ</t>
        </is>
      </c>
      <c r="C17" s="18">
        <f>SUMIFS(NAV_Calc!$R:$R,NAV_Calc!$B:$B,$B17,NAV_Calc!$A:$A,$A17)</f>
        <v/>
      </c>
      <c r="D17" s="18" t="n">
        <v>9.820425</v>
      </c>
      <c r="E17" s="28">
        <f>($D17-$C17)/$C17</f>
        <v/>
      </c>
      <c r="F17">
        <f>IF(ABS($E17)&lt;=$J$5,"MATCHED","NAV_BREAK")</f>
        <v/>
      </c>
      <c r="G17" s="28">
        <f>ABS($E17)</f>
        <v/>
      </c>
    </row>
    <row r="18">
      <c r="A18" s="22" t="n">
        <v>46266</v>
      </c>
      <c r="B18" t="inlineStr">
        <is>
          <t>BETA_DEBT</t>
        </is>
      </c>
      <c r="C18" s="18">
        <f>SUMIFS(NAV_Calc!$R:$R,NAV_Calc!$B:$B,$B18,NAV_Calc!$A:$A,$A18)</f>
        <v/>
      </c>
      <c r="D18" s="18" t="n">
        <v>9.930289999999999</v>
      </c>
      <c r="E18" s="28">
        <f>($D18-$C18)/$C18</f>
        <v/>
      </c>
      <c r="F18">
        <f>IF(ABS($E18)&lt;=$J$5,"MATCHED","NAV_BREAK")</f>
        <v/>
      </c>
      <c r="G18" s="28">
        <f>ABS($E18)</f>
        <v/>
      </c>
    </row>
    <row r="19">
      <c r="A19" s="22" t="n">
        <v>46266</v>
      </c>
      <c r="B19" t="inlineStr">
        <is>
          <t>GAMMA_BAL</t>
        </is>
      </c>
      <c r="C19" s="18">
        <f>SUMIFS(NAV_Calc!$R:$R,NAV_Calc!$B:$B,$B19,NAV_Calc!$A:$A,$A19)</f>
        <v/>
      </c>
      <c r="D19" s="18" t="n">
        <v>9.891254</v>
      </c>
      <c r="E19" s="28">
        <f>($D19-$C19)/$C19</f>
        <v/>
      </c>
      <c r="F19">
        <f>IF(ABS($E19)&lt;=$J$5,"MATCHED","NAV_BREAK")</f>
        <v/>
      </c>
      <c r="G19" s="28">
        <f>ABS($E19)</f>
        <v/>
      </c>
    </row>
    <row r="20">
      <c r="A20" s="22" t="n">
        <v>46267</v>
      </c>
      <c r="B20" t="inlineStr">
        <is>
          <t>ALPHA_EQ</t>
        </is>
      </c>
      <c r="C20" s="18">
        <f>SUMIFS(NAV_Calc!$R:$R,NAV_Calc!$B:$B,$B20,NAV_Calc!$A:$A,$A20)</f>
        <v/>
      </c>
      <c r="D20" s="18" t="n">
        <v>9.842131999999999</v>
      </c>
      <c r="E20" s="28">
        <f>($D20-$C20)/$C20</f>
        <v/>
      </c>
      <c r="F20">
        <f>IF(ABS($E20)&lt;=$J$5,"MATCHED","NAV_BREAK")</f>
        <v/>
      </c>
      <c r="G20" s="28">
        <f>ABS($E20)</f>
        <v/>
      </c>
    </row>
    <row r="21">
      <c r="A21" s="22" t="n">
        <v>46267</v>
      </c>
      <c r="B21" t="inlineStr">
        <is>
          <t>BETA_DEBT</t>
        </is>
      </c>
      <c r="C21" s="18">
        <f>SUMIFS(NAV_Calc!$R:$R,NAV_Calc!$B:$B,$B21,NAV_Calc!$A:$A,$A21)</f>
        <v/>
      </c>
      <c r="D21" s="18" t="n">
        <v>9.922044</v>
      </c>
      <c r="E21" s="28">
        <f>($D21-$C21)/$C21</f>
        <v/>
      </c>
      <c r="F21">
        <f>IF(ABS($E21)&lt;=$J$5,"MATCHED","NAV_BREAK")</f>
        <v/>
      </c>
      <c r="G21" s="28">
        <f>ABS($E21)</f>
        <v/>
      </c>
    </row>
    <row r="22">
      <c r="A22" s="22" t="n">
        <v>46267</v>
      </c>
      <c r="B22" t="inlineStr">
        <is>
          <t>GAMMA_BAL</t>
        </is>
      </c>
      <c r="C22" s="18">
        <f>SUMIFS(NAV_Calc!$R:$R,NAV_Calc!$B:$B,$B22,NAV_Calc!$A:$A,$A22)</f>
        <v/>
      </c>
      <c r="D22" s="18" t="n">
        <v>9.870563000000001</v>
      </c>
      <c r="E22" s="28">
        <f>($D22-$C22)/$C22</f>
        <v/>
      </c>
      <c r="F22">
        <f>IF(ABS($E22)&lt;=$J$5,"MATCHED","NAV_BREAK")</f>
        <v/>
      </c>
      <c r="G22" s="28">
        <f>ABS($E22)</f>
        <v/>
      </c>
    </row>
    <row r="23">
      <c r="A23" s="22" t="n">
        <v>46268</v>
      </c>
      <c r="B23" t="inlineStr">
        <is>
          <t>ALPHA_EQ</t>
        </is>
      </c>
      <c r="C23" s="18">
        <f>SUMIFS(NAV_Calc!$R:$R,NAV_Calc!$B:$B,$B23,NAV_Calc!$A:$A,$A23)</f>
        <v/>
      </c>
      <c r="D23" s="18" t="n">
        <v>9.899737</v>
      </c>
      <c r="E23" s="28">
        <f>($D23-$C23)/$C23</f>
        <v/>
      </c>
      <c r="F23">
        <f>IF(ABS($E23)&lt;=$J$5,"MATCHED","NAV_BREAK")</f>
        <v/>
      </c>
      <c r="G23" s="28">
        <f>ABS($E23)</f>
        <v/>
      </c>
    </row>
    <row r="24">
      <c r="A24" s="22" t="n">
        <v>46268</v>
      </c>
      <c r="B24" t="inlineStr">
        <is>
          <t>BETA_DEBT</t>
        </is>
      </c>
      <c r="C24" s="18">
        <f>SUMIFS(NAV_Calc!$R:$R,NAV_Calc!$B:$B,$B24,NAV_Calc!$A:$A,$A24)</f>
        <v/>
      </c>
      <c r="D24" s="18" t="n">
        <v>9.89137</v>
      </c>
      <c r="E24" s="28">
        <f>($D24-$C24)/$C24</f>
        <v/>
      </c>
      <c r="F24">
        <f>IF(ABS($E24)&lt;=$J$5,"MATCHED","NAV_BREAK")</f>
        <v/>
      </c>
      <c r="G24" s="28">
        <f>ABS($E24)</f>
        <v/>
      </c>
    </row>
    <row r="25">
      <c r="A25" s="22" t="n">
        <v>46268</v>
      </c>
      <c r="B25" t="inlineStr">
        <is>
          <t>GAMMA_BAL</t>
        </is>
      </c>
      <c r="C25" s="18">
        <f>SUMIFS(NAV_Calc!$R:$R,NAV_Calc!$B:$B,$B25,NAV_Calc!$A:$A,$A25)</f>
        <v/>
      </c>
      <c r="D25" s="18" t="n">
        <v>9.84613</v>
      </c>
      <c r="E25" s="28">
        <f>($D25-$C25)/$C25</f>
        <v/>
      </c>
      <c r="F25">
        <f>IF(ABS($E25)&lt;=$J$5,"MATCHED","NAV_BREAK")</f>
        <v/>
      </c>
      <c r="G25" s="28">
        <f>ABS($E25)</f>
        <v/>
      </c>
    </row>
    <row r="26">
      <c r="A26" s="22" t="n">
        <v>46269</v>
      </c>
      <c r="B26" t="inlineStr">
        <is>
          <t>ALPHA_EQ</t>
        </is>
      </c>
      <c r="C26" s="18">
        <f>SUMIFS(NAV_Calc!$R:$R,NAV_Calc!$B:$B,$B26,NAV_Calc!$A:$A,$A26)</f>
        <v/>
      </c>
      <c r="D26" s="18" t="n">
        <v>9.89249</v>
      </c>
      <c r="E26" s="28">
        <f>($D26-$C26)/$C26</f>
        <v/>
      </c>
      <c r="F26">
        <f>IF(ABS($E26)&lt;=$J$5,"MATCHED","NAV_BREAK")</f>
        <v/>
      </c>
      <c r="G26" s="28">
        <f>ABS($E26)</f>
        <v/>
      </c>
    </row>
    <row r="27">
      <c r="A27" s="22" t="n">
        <v>46269</v>
      </c>
      <c r="B27" t="inlineStr">
        <is>
          <t>BETA_DEBT</t>
        </is>
      </c>
      <c r="C27" s="18">
        <f>SUMIFS(NAV_Calc!$R:$R,NAV_Calc!$B:$B,$B27,NAV_Calc!$A:$A,$A27)</f>
        <v/>
      </c>
      <c r="D27" s="18" t="n">
        <v>9.890122</v>
      </c>
      <c r="E27" s="28">
        <f>($D27-$C27)/$C27</f>
        <v/>
      </c>
      <c r="F27">
        <f>IF(ABS($E27)&lt;=$J$5,"MATCHED","NAV_BREAK")</f>
        <v/>
      </c>
      <c r="G27" s="28">
        <f>ABS($E27)</f>
        <v/>
      </c>
    </row>
    <row r="28">
      <c r="A28" s="22" t="n">
        <v>46269</v>
      </c>
      <c r="B28" t="inlineStr">
        <is>
          <t>GAMMA_BAL</t>
        </is>
      </c>
      <c r="C28" s="18">
        <f>SUMIFS(NAV_Calc!$R:$R,NAV_Calc!$B:$B,$B28,NAV_Calc!$A:$A,$A28)</f>
        <v/>
      </c>
      <c r="D28" s="18" t="n">
        <v>9.855566</v>
      </c>
      <c r="E28" s="28">
        <f>($D28-$C28)/$C28</f>
        <v/>
      </c>
      <c r="F28">
        <f>IF(ABS($E28)&lt;=$J$5,"MATCHED","NAV_BREAK")</f>
        <v/>
      </c>
      <c r="G28" s="28">
        <f>ABS($E28)</f>
        <v/>
      </c>
    </row>
    <row r="29">
      <c r="A29" s="22" t="n">
        <v>46272</v>
      </c>
      <c r="B29" t="inlineStr">
        <is>
          <t>ALPHA_EQ</t>
        </is>
      </c>
      <c r="C29" s="18">
        <f>SUMIFS(NAV_Calc!$R:$R,NAV_Calc!$B:$B,$B29,NAV_Calc!$A:$A,$A29)</f>
        <v/>
      </c>
      <c r="D29" s="18" t="n">
        <v>9.860571999999999</v>
      </c>
      <c r="E29" s="28">
        <f>($D29-$C29)/$C29</f>
        <v/>
      </c>
      <c r="F29">
        <f>IF(ABS($E29)&lt;=$J$5,"MATCHED","NAV_BREAK")</f>
        <v/>
      </c>
      <c r="G29" s="28">
        <f>ABS($E29)</f>
        <v/>
      </c>
    </row>
    <row r="30">
      <c r="A30" s="22" t="n">
        <v>46272</v>
      </c>
      <c r="B30" t="inlineStr">
        <is>
          <t>BETA_DEBT</t>
        </is>
      </c>
      <c r="C30" s="18">
        <f>SUMIFS(NAV_Calc!$R:$R,NAV_Calc!$B:$B,$B30,NAV_Calc!$A:$A,$A30)</f>
        <v/>
      </c>
      <c r="D30" s="18" t="n">
        <v>9.880133000000001</v>
      </c>
      <c r="E30" s="28">
        <f>($D30-$C30)/$C30</f>
        <v/>
      </c>
      <c r="F30">
        <f>IF(ABS($E30)&lt;=$J$5,"MATCHED","NAV_BREAK")</f>
        <v/>
      </c>
      <c r="G30" s="28">
        <f>ABS($E30)</f>
        <v/>
      </c>
    </row>
    <row r="31">
      <c r="A31" s="22" t="n">
        <v>46272</v>
      </c>
      <c r="B31" t="inlineStr">
        <is>
          <t>GAMMA_BAL</t>
        </is>
      </c>
      <c r="C31" s="18">
        <f>SUMIFS(NAV_Calc!$R:$R,NAV_Calc!$B:$B,$B31,NAV_Calc!$A:$A,$A31)</f>
        <v/>
      </c>
      <c r="D31" s="18" t="n">
        <v>9.804923</v>
      </c>
      <c r="E31" s="28">
        <f>($D31-$C31)/$C31</f>
        <v/>
      </c>
      <c r="F31">
        <f>IF(ABS($E31)&lt;=$J$5,"MATCHED","NAV_BREAK")</f>
        <v/>
      </c>
      <c r="G31" s="28">
        <f>ABS($E31)</f>
        <v/>
      </c>
    </row>
    <row r="32">
      <c r="A32" s="22" t="n">
        <v>46273</v>
      </c>
      <c r="B32" t="inlineStr">
        <is>
          <t>ALPHA_EQ</t>
        </is>
      </c>
      <c r="C32" s="18">
        <f>SUMIFS(NAV_Calc!$R:$R,NAV_Calc!$B:$B,$B32,NAV_Calc!$A:$A,$A32)</f>
        <v/>
      </c>
      <c r="D32" s="18" t="n">
        <v>9.773073999999999</v>
      </c>
      <c r="E32" s="28">
        <f>($D32-$C32)/$C32</f>
        <v/>
      </c>
      <c r="F32">
        <f>IF(ABS($E32)&lt;=$J$5,"MATCHED","NAV_BREAK")</f>
        <v/>
      </c>
      <c r="G32" s="28">
        <f>ABS($E32)</f>
        <v/>
      </c>
    </row>
    <row r="33">
      <c r="A33" s="22" t="n">
        <v>46273</v>
      </c>
      <c r="B33" t="inlineStr">
        <is>
          <t>BETA_DEBT</t>
        </is>
      </c>
      <c r="C33" s="18">
        <f>SUMIFS(NAV_Calc!$R:$R,NAV_Calc!$B:$B,$B33,NAV_Calc!$A:$A,$A33)</f>
        <v/>
      </c>
      <c r="D33" s="18" t="n">
        <v>9.839376</v>
      </c>
      <c r="E33" s="28">
        <f>($D33-$C33)/$C33</f>
        <v/>
      </c>
      <c r="F33">
        <f>IF(ABS($E33)&lt;=$J$5,"MATCHED","NAV_BREAK")</f>
        <v/>
      </c>
      <c r="G33" s="28">
        <f>ABS($E33)</f>
        <v/>
      </c>
    </row>
    <row r="34">
      <c r="A34" s="22" t="n">
        <v>46273</v>
      </c>
      <c r="B34" t="inlineStr">
        <is>
          <t>GAMMA_BAL</t>
        </is>
      </c>
      <c r="C34" s="18">
        <f>SUMIFS(NAV_Calc!$R:$R,NAV_Calc!$B:$B,$B34,NAV_Calc!$A:$A,$A34)</f>
        <v/>
      </c>
      <c r="D34" s="18" t="n">
        <v>9.733967</v>
      </c>
      <c r="E34" s="28">
        <f>($D34-$C34)/$C34</f>
        <v/>
      </c>
      <c r="F34">
        <f>IF(ABS($E34)&lt;=$J$5,"MATCHED","NAV_BREAK")</f>
        <v/>
      </c>
      <c r="G34" s="28">
        <f>ABS($E34)</f>
        <v/>
      </c>
    </row>
    <row r="35">
      <c r="A35" s="22" t="n">
        <v>46274</v>
      </c>
      <c r="B35" t="inlineStr">
        <is>
          <t>ALPHA_EQ</t>
        </is>
      </c>
      <c r="C35" s="18">
        <f>SUMIFS(NAV_Calc!$R:$R,NAV_Calc!$B:$B,$B35,NAV_Calc!$A:$A,$A35)</f>
        <v/>
      </c>
      <c r="D35" s="18" t="n">
        <v>9.743893</v>
      </c>
      <c r="E35" s="28">
        <f>($D35-$C35)/$C35</f>
        <v/>
      </c>
      <c r="F35">
        <f>IF(ABS($E35)&lt;=$J$5,"MATCHED","NAV_BREAK")</f>
        <v/>
      </c>
      <c r="G35" s="28">
        <f>ABS($E35)</f>
        <v/>
      </c>
    </row>
    <row r="36">
      <c r="A36" s="22" t="n">
        <v>46274</v>
      </c>
      <c r="B36" t="inlineStr">
        <is>
          <t>BETA_DEBT</t>
        </is>
      </c>
      <c r="C36" s="18">
        <f>SUMIFS(NAV_Calc!$R:$R,NAV_Calc!$B:$B,$B36,NAV_Calc!$A:$A,$A36)</f>
        <v/>
      </c>
      <c r="D36" s="18" t="n">
        <v>9.833895999999999</v>
      </c>
      <c r="E36" s="28">
        <f>($D36-$C36)/$C36</f>
        <v/>
      </c>
      <c r="F36">
        <f>IF(ABS($E36)&lt;=$J$5,"MATCHED","NAV_BREAK")</f>
        <v/>
      </c>
      <c r="G36" s="28">
        <f>ABS($E36)</f>
        <v/>
      </c>
    </row>
    <row r="37">
      <c r="A37" s="22" t="n">
        <v>46274</v>
      </c>
      <c r="B37" t="inlineStr">
        <is>
          <t>GAMMA_BAL</t>
        </is>
      </c>
      <c r="C37" s="18">
        <f>SUMIFS(NAV_Calc!$R:$R,NAV_Calc!$B:$B,$B37,NAV_Calc!$A:$A,$A37)</f>
        <v/>
      </c>
      <c r="D37" s="18" t="n">
        <v>9.730518</v>
      </c>
      <c r="E37" s="28">
        <f>($D37-$C37)/$C37</f>
        <v/>
      </c>
      <c r="F37">
        <f>IF(ABS($E37)&lt;=$J$5,"MATCHED","NAV_BREAK")</f>
        <v/>
      </c>
      <c r="G37" s="28">
        <f>ABS($E37)</f>
        <v/>
      </c>
    </row>
    <row r="38">
      <c r="A38" s="22" t="n">
        <v>46275</v>
      </c>
      <c r="B38" t="inlineStr">
        <is>
          <t>ALPHA_EQ</t>
        </is>
      </c>
      <c r="C38" s="18">
        <f>SUMIFS(NAV_Calc!$R:$R,NAV_Calc!$B:$B,$B38,NAV_Calc!$A:$A,$A38)</f>
        <v/>
      </c>
      <c r="D38" s="18" t="n">
        <v>9.752703</v>
      </c>
      <c r="E38" s="28">
        <f>($D38-$C38)/$C38</f>
        <v/>
      </c>
      <c r="F38">
        <f>IF(ABS($E38)&lt;=$J$5,"MATCHED","NAV_BREAK")</f>
        <v/>
      </c>
      <c r="G38" s="28">
        <f>ABS($E38)</f>
        <v/>
      </c>
    </row>
    <row r="39">
      <c r="A39" s="22" t="n">
        <v>46275</v>
      </c>
      <c r="B39" t="inlineStr">
        <is>
          <t>BETA_DEBT</t>
        </is>
      </c>
      <c r="C39" s="18">
        <f>SUMIFS(NAV_Calc!$R:$R,NAV_Calc!$B:$B,$B39,NAV_Calc!$A:$A,$A39)</f>
        <v/>
      </c>
      <c r="D39" s="18" t="n">
        <v>9.813186999999999</v>
      </c>
      <c r="E39" s="28">
        <f>($D39-$C39)/$C39</f>
        <v/>
      </c>
      <c r="F39">
        <f>IF(ABS($E39)&lt;=$J$5,"MATCHED","NAV_BREAK")</f>
        <v/>
      </c>
      <c r="G39" s="28">
        <f>ABS($E39)</f>
        <v/>
      </c>
    </row>
    <row r="40">
      <c r="A40" s="22" t="n">
        <v>46275</v>
      </c>
      <c r="B40" t="inlineStr">
        <is>
          <t>GAMMA_BAL</t>
        </is>
      </c>
      <c r="C40" s="18">
        <f>SUMIFS(NAV_Calc!$R:$R,NAV_Calc!$B:$B,$B40,NAV_Calc!$A:$A,$A40)</f>
        <v/>
      </c>
      <c r="D40" s="18" t="n">
        <v>9.692852999999999</v>
      </c>
      <c r="E40" s="28">
        <f>($D40-$C40)/$C40</f>
        <v/>
      </c>
      <c r="F40">
        <f>IF(ABS($E40)&lt;=$J$5,"MATCHED","NAV_BREAK")</f>
        <v/>
      </c>
      <c r="G40" s="28">
        <f>ABS($E40)</f>
        <v/>
      </c>
    </row>
    <row r="41">
      <c r="A41" s="22" t="n">
        <v>46276</v>
      </c>
      <c r="B41" t="inlineStr">
        <is>
          <t>ALPHA_EQ</t>
        </is>
      </c>
      <c r="C41" s="18">
        <f>SUMIFS(NAV_Calc!$R:$R,NAV_Calc!$B:$B,$B41,NAV_Calc!$A:$A,$A41)</f>
        <v/>
      </c>
      <c r="D41" s="18" t="n">
        <v>9.731764999999999</v>
      </c>
      <c r="E41" s="28">
        <f>($D41-$C41)/$C41</f>
        <v/>
      </c>
      <c r="F41">
        <f>IF(ABS($E41)&lt;=$J$5,"MATCHED","NAV_BREAK")</f>
        <v/>
      </c>
      <c r="G41" s="28">
        <f>ABS($E41)</f>
        <v/>
      </c>
    </row>
    <row r="42">
      <c r="A42" s="22" t="n">
        <v>46276</v>
      </c>
      <c r="B42" t="inlineStr">
        <is>
          <t>BETA_DEBT</t>
        </is>
      </c>
      <c r="C42" s="18">
        <f>SUMIFS(NAV_Calc!$R:$R,NAV_Calc!$B:$B,$B42,NAV_Calc!$A:$A,$A42)</f>
        <v/>
      </c>
      <c r="D42" s="18" t="n">
        <v>9.772904</v>
      </c>
      <c r="E42" s="28">
        <f>($D42-$C42)/$C42</f>
        <v/>
      </c>
      <c r="F42">
        <f>IF(ABS($E42)&lt;=$J$5,"MATCHED","NAV_BREAK")</f>
        <v/>
      </c>
      <c r="G42" s="28">
        <f>ABS($E42)</f>
        <v/>
      </c>
    </row>
    <row r="43">
      <c r="A43" s="22" t="n">
        <v>46276</v>
      </c>
      <c r="B43" t="inlineStr">
        <is>
          <t>GAMMA_BAL</t>
        </is>
      </c>
      <c r="C43" s="18">
        <f>SUMIFS(NAV_Calc!$R:$R,NAV_Calc!$B:$B,$B43,NAV_Calc!$A:$A,$A43)</f>
        <v/>
      </c>
      <c r="D43" s="18" t="n">
        <v>9.686481000000001</v>
      </c>
      <c r="E43" s="28">
        <f>($D43-$C43)/$C43</f>
        <v/>
      </c>
      <c r="F43">
        <f>IF(ABS($E43)&lt;=$J$5,"MATCHED","NAV_BREAK")</f>
        <v/>
      </c>
      <c r="G43" s="28">
        <f>ABS($E43)</f>
        <v/>
      </c>
    </row>
    <row r="44">
      <c r="A44" s="22" t="n">
        <v>46279</v>
      </c>
      <c r="B44" t="inlineStr">
        <is>
          <t>ALPHA_EQ</t>
        </is>
      </c>
      <c r="C44" s="18">
        <f>SUMIFS(NAV_Calc!$R:$R,NAV_Calc!$B:$B,$B44,NAV_Calc!$A:$A,$A44)</f>
        <v/>
      </c>
      <c r="D44" s="18" t="n">
        <v>9.772239000000001</v>
      </c>
      <c r="E44" s="28">
        <f>($D44-$C44)/$C44</f>
        <v/>
      </c>
      <c r="F44">
        <f>IF(ABS($E44)&lt;=$J$5,"MATCHED","NAV_BREAK")</f>
        <v/>
      </c>
      <c r="G44" s="28">
        <f>ABS($E44)</f>
        <v/>
      </c>
    </row>
    <row r="45">
      <c r="A45" s="22" t="n">
        <v>46279</v>
      </c>
      <c r="B45" t="inlineStr">
        <is>
          <t>BETA_DEBT</t>
        </is>
      </c>
      <c r="C45" s="18">
        <f>SUMIFS(NAV_Calc!$R:$R,NAV_Calc!$B:$B,$B45,NAV_Calc!$A:$A,$A45)</f>
        <v/>
      </c>
      <c r="D45" s="18" t="n">
        <v>9.734823</v>
      </c>
      <c r="E45" s="28">
        <f>($D45-$C45)/$C45</f>
        <v/>
      </c>
      <c r="F45">
        <f>IF(ABS($E45)&lt;=$J$5,"MATCHED","NAV_BREAK")</f>
        <v/>
      </c>
      <c r="G45" s="28">
        <f>ABS($E45)</f>
        <v/>
      </c>
    </row>
    <row r="46">
      <c r="A46" s="22" t="n">
        <v>46279</v>
      </c>
      <c r="B46" t="inlineStr">
        <is>
          <t>GAMMA_BAL</t>
        </is>
      </c>
      <c r="C46" s="18">
        <f>SUMIFS(NAV_Calc!$R:$R,NAV_Calc!$B:$B,$B46,NAV_Calc!$A:$A,$A46)</f>
        <v/>
      </c>
      <c r="D46" s="18" t="n">
        <v>9.700340000000001</v>
      </c>
      <c r="E46" s="28">
        <f>($D46-$C46)/$C46</f>
        <v/>
      </c>
      <c r="F46">
        <f>IF(ABS($E46)&lt;=$J$5,"MATCHED","NAV_BREAK")</f>
        <v/>
      </c>
      <c r="G46" s="28">
        <f>ABS($E46)</f>
        <v/>
      </c>
    </row>
    <row r="47">
      <c r="A47" s="22" t="n">
        <v>46280</v>
      </c>
      <c r="B47" t="inlineStr">
        <is>
          <t>ALPHA_EQ</t>
        </is>
      </c>
      <c r="C47" s="18">
        <f>SUMIFS(NAV_Calc!$R:$R,NAV_Calc!$B:$B,$B47,NAV_Calc!$A:$A,$A47)</f>
        <v/>
      </c>
      <c r="D47" s="18" t="n">
        <v>9.633922</v>
      </c>
      <c r="E47" s="28">
        <f>($D47-$C47)/$C47</f>
        <v/>
      </c>
      <c r="F47">
        <f>IF(ABS($E47)&lt;=$J$5,"MATCHED","NAV_BREAK")</f>
        <v/>
      </c>
      <c r="G47" s="28">
        <f>ABS($E47)</f>
        <v/>
      </c>
    </row>
    <row r="48">
      <c r="A48" s="22" t="n">
        <v>46280</v>
      </c>
      <c r="B48" t="inlineStr">
        <is>
          <t>BETA_DEBT</t>
        </is>
      </c>
      <c r="C48" s="18">
        <f>SUMIFS(NAV_Calc!$R:$R,NAV_Calc!$B:$B,$B48,NAV_Calc!$A:$A,$A48)</f>
        <v/>
      </c>
      <c r="D48" s="18" t="n">
        <v>9.613300000000001</v>
      </c>
      <c r="E48" s="28">
        <f>($D48-$C48)/$C48</f>
        <v/>
      </c>
      <c r="F48">
        <f>IF(ABS($E48)&lt;=$J$5,"MATCHED","NAV_BREAK")</f>
        <v/>
      </c>
      <c r="G48" s="28">
        <f>ABS($E48)</f>
        <v/>
      </c>
    </row>
    <row r="49">
      <c r="A49" s="22" t="n">
        <v>46280</v>
      </c>
      <c r="B49" t="inlineStr">
        <is>
          <t>GAMMA_BAL</t>
        </is>
      </c>
      <c r="C49" s="18">
        <f>SUMIFS(NAV_Calc!$R:$R,NAV_Calc!$B:$B,$B49,NAV_Calc!$A:$A,$A49)</f>
        <v/>
      </c>
      <c r="D49" s="18" t="n">
        <v>9.596056000000001</v>
      </c>
      <c r="E49" s="28">
        <f>($D49-$C49)/$C49</f>
        <v/>
      </c>
      <c r="F49">
        <f>IF(ABS($E49)&lt;=$J$5,"MATCHED","NAV_BREAK")</f>
        <v/>
      </c>
      <c r="G49" s="28">
        <f>ABS($E49)</f>
        <v/>
      </c>
    </row>
    <row r="50">
      <c r="A50" s="22" t="n">
        <v>46281</v>
      </c>
      <c r="B50" t="inlineStr">
        <is>
          <t>ALPHA_EQ</t>
        </is>
      </c>
      <c r="C50" s="18">
        <f>SUMIFS(NAV_Calc!$R:$R,NAV_Calc!$B:$B,$B50,NAV_Calc!$A:$A,$A50)</f>
        <v/>
      </c>
      <c r="D50" s="18" t="n">
        <v>9.547452</v>
      </c>
      <c r="E50" s="28">
        <f>($D50-$C50)/$C50</f>
        <v/>
      </c>
      <c r="F50">
        <f>IF(ABS($E50)&lt;=$J$5,"MATCHED","NAV_BREAK")</f>
        <v/>
      </c>
      <c r="G50" s="28">
        <f>ABS($E50)</f>
        <v/>
      </c>
    </row>
    <row r="51">
      <c r="A51" s="22" t="n">
        <v>46281</v>
      </c>
      <c r="B51" t="inlineStr">
        <is>
          <t>BETA_DEBT</t>
        </is>
      </c>
      <c r="C51" s="18">
        <f>SUMIFS(NAV_Calc!$R:$R,NAV_Calc!$B:$B,$B51,NAV_Calc!$A:$A,$A51)</f>
        <v/>
      </c>
      <c r="D51" s="18" t="n">
        <v>9.615933</v>
      </c>
      <c r="E51" s="28">
        <f>($D51-$C51)/$C51</f>
        <v/>
      </c>
      <c r="F51">
        <f>IF(ABS($E51)&lt;=$J$5,"MATCHED","NAV_BREAK")</f>
        <v/>
      </c>
      <c r="G51" s="28">
        <f>ABS($E51)</f>
        <v/>
      </c>
    </row>
    <row r="52">
      <c r="A52" s="22" t="n">
        <v>46281</v>
      </c>
      <c r="B52" t="inlineStr">
        <is>
          <t>GAMMA_BAL</t>
        </is>
      </c>
      <c r="C52" s="18">
        <f>SUMIFS(NAV_Calc!$R:$R,NAV_Calc!$B:$B,$B52,NAV_Calc!$A:$A,$A52)</f>
        <v/>
      </c>
      <c r="D52" s="18" t="n">
        <v>9.582808</v>
      </c>
      <c r="E52" s="28">
        <f>($D52-$C52)/$C52</f>
        <v/>
      </c>
      <c r="F52">
        <f>IF(ABS($E52)&lt;=$J$5,"MATCHED","NAV_BREAK")</f>
        <v/>
      </c>
      <c r="G52" s="28">
        <f>ABS($E52)</f>
        <v/>
      </c>
    </row>
    <row r="53">
      <c r="A53" s="22" t="n">
        <v>46282</v>
      </c>
      <c r="B53" t="inlineStr">
        <is>
          <t>ALPHA_EQ</t>
        </is>
      </c>
      <c r="C53" s="18">
        <f>SUMIFS(NAV_Calc!$R:$R,NAV_Calc!$B:$B,$B53,NAV_Calc!$A:$A,$A53)</f>
        <v/>
      </c>
      <c r="D53" s="18" t="n">
        <v>9.655201</v>
      </c>
      <c r="E53" s="28">
        <f>($D53-$C53)/$C53</f>
        <v/>
      </c>
      <c r="F53">
        <f>IF(ABS($E53)&lt;=$J$5,"MATCHED","NAV_BREAK")</f>
        <v/>
      </c>
      <c r="G53" s="28">
        <f>ABS($E53)</f>
        <v/>
      </c>
    </row>
    <row r="54">
      <c r="A54" s="22" t="n">
        <v>46282</v>
      </c>
      <c r="B54" t="inlineStr">
        <is>
          <t>BETA_DEBT</t>
        </is>
      </c>
      <c r="C54" s="18">
        <f>SUMIFS(NAV_Calc!$R:$R,NAV_Calc!$B:$B,$B54,NAV_Calc!$A:$A,$A54)</f>
        <v/>
      </c>
      <c r="D54" s="18" t="n">
        <v>9.611942000000001</v>
      </c>
      <c r="E54" s="28">
        <f>($D54-$C54)/$C54</f>
        <v/>
      </c>
      <c r="F54">
        <f>IF(ABS($E54)&lt;=$J$5,"MATCHED","NAV_BREAK")</f>
        <v/>
      </c>
      <c r="G54" s="28">
        <f>ABS($E54)</f>
        <v/>
      </c>
    </row>
    <row r="55">
      <c r="A55" s="22" t="n">
        <v>46282</v>
      </c>
      <c r="B55" t="inlineStr">
        <is>
          <t>GAMMA_BAL</t>
        </is>
      </c>
      <c r="C55" s="18">
        <f>SUMIFS(NAV_Calc!$R:$R,NAV_Calc!$B:$B,$B55,NAV_Calc!$A:$A,$A55)</f>
        <v/>
      </c>
      <c r="D55" s="18" t="n">
        <v>9.650354</v>
      </c>
      <c r="E55" s="28">
        <f>($D55-$C55)/$C55</f>
        <v/>
      </c>
      <c r="F55">
        <f>IF(ABS($E55)&lt;=$J$5,"MATCHED","NAV_BREAK")</f>
        <v/>
      </c>
      <c r="G55" s="28">
        <f>ABS($E55)</f>
        <v/>
      </c>
    </row>
    <row r="56">
      <c r="A56" s="22" t="n">
        <v>46283</v>
      </c>
      <c r="B56" t="inlineStr">
        <is>
          <t>ALPHA_EQ</t>
        </is>
      </c>
      <c r="C56" s="18">
        <f>SUMIFS(NAV_Calc!$R:$R,NAV_Calc!$B:$B,$B56,NAV_Calc!$A:$A,$A56)</f>
        <v/>
      </c>
      <c r="D56" s="18" t="n">
        <v>9.595443</v>
      </c>
      <c r="E56" s="28">
        <f>($D56-$C56)/$C56</f>
        <v/>
      </c>
      <c r="F56">
        <f>IF(ABS($E56)&lt;=$J$5,"MATCHED","NAV_BREAK")</f>
        <v/>
      </c>
      <c r="G56" s="28">
        <f>ABS($E56)</f>
        <v/>
      </c>
    </row>
    <row r="57">
      <c r="A57" s="22" t="n">
        <v>46283</v>
      </c>
      <c r="B57" t="inlineStr">
        <is>
          <t>BETA_DEBT</t>
        </is>
      </c>
      <c r="C57" s="18">
        <f>SUMIFS(NAV_Calc!$R:$R,NAV_Calc!$B:$B,$B57,NAV_Calc!$A:$A,$A57)</f>
        <v/>
      </c>
      <c r="D57" s="18" t="n">
        <v>9.586724999999999</v>
      </c>
      <c r="E57" s="28">
        <f>($D57-$C57)/$C57</f>
        <v/>
      </c>
      <c r="F57">
        <f>IF(ABS($E57)&lt;=$J$5,"MATCHED","NAV_BREAK")</f>
        <v/>
      </c>
      <c r="G57" s="28">
        <f>ABS($E57)</f>
        <v/>
      </c>
    </row>
    <row r="58">
      <c r="A58" s="22" t="n">
        <v>46283</v>
      </c>
      <c r="B58" t="inlineStr">
        <is>
          <t>GAMMA_BAL</t>
        </is>
      </c>
      <c r="C58" s="18">
        <f>SUMIFS(NAV_Calc!$R:$R,NAV_Calc!$B:$B,$B58,NAV_Calc!$A:$A,$A58)</f>
        <v/>
      </c>
      <c r="D58" s="18" t="n">
        <v>9.606826</v>
      </c>
      <c r="E58" s="28">
        <f>($D58-$C58)/$C58</f>
        <v/>
      </c>
      <c r="F58">
        <f>IF(ABS($E58)&lt;=$J$5,"MATCHED","NAV_BREAK")</f>
        <v/>
      </c>
      <c r="G58" s="28">
        <f>ABS($E58)</f>
        <v/>
      </c>
    </row>
    <row r="59">
      <c r="A59" s="22" t="n">
        <v>46286</v>
      </c>
      <c r="B59" t="inlineStr">
        <is>
          <t>ALPHA_EQ</t>
        </is>
      </c>
      <c r="C59" s="18">
        <f>SUMIFS(NAV_Calc!$R:$R,NAV_Calc!$B:$B,$B59,NAV_Calc!$A:$A,$A59)</f>
        <v/>
      </c>
      <c r="D59" s="18" t="n">
        <v>9.648580000000001</v>
      </c>
      <c r="E59" s="28">
        <f>($D59-$C59)/$C59</f>
        <v/>
      </c>
      <c r="F59">
        <f>IF(ABS($E59)&lt;=$J$5,"MATCHED","NAV_BREAK")</f>
        <v/>
      </c>
      <c r="G59" s="28">
        <f>ABS($E59)</f>
        <v/>
      </c>
    </row>
    <row r="60">
      <c r="A60" s="22" t="n">
        <v>46286</v>
      </c>
      <c r="B60" t="inlineStr">
        <is>
          <t>BETA_DEBT</t>
        </is>
      </c>
      <c r="C60" s="18">
        <f>SUMIFS(NAV_Calc!$R:$R,NAV_Calc!$B:$B,$B60,NAV_Calc!$A:$A,$A60)</f>
        <v/>
      </c>
      <c r="D60" s="18" t="n">
        <v>9.567045</v>
      </c>
      <c r="E60" s="28">
        <f>($D60-$C60)/$C60</f>
        <v/>
      </c>
      <c r="F60">
        <f>IF(ABS($E60)&lt;=$J$5,"MATCHED","NAV_BREAK")</f>
        <v/>
      </c>
      <c r="G60" s="28">
        <f>ABS($E60)</f>
        <v/>
      </c>
    </row>
    <row r="61">
      <c r="A61" s="22" t="n">
        <v>46286</v>
      </c>
      <c r="B61" t="inlineStr">
        <is>
          <t>GAMMA_BAL</t>
        </is>
      </c>
      <c r="C61" s="18">
        <f>SUMIFS(NAV_Calc!$R:$R,NAV_Calc!$B:$B,$B61,NAV_Calc!$A:$A,$A61)</f>
        <v/>
      </c>
      <c r="D61" s="18" t="n">
        <v>9.543006999999999</v>
      </c>
      <c r="E61" s="28">
        <f>($D61-$C61)/$C61</f>
        <v/>
      </c>
      <c r="F61">
        <f>IF(ABS($E61)&lt;=$J$5,"MATCHED","NAV_BREAK")</f>
        <v/>
      </c>
      <c r="G61" s="28">
        <f>ABS($E61)</f>
        <v/>
      </c>
    </row>
    <row r="62">
      <c r="A62" s="22" t="n">
        <v>46287</v>
      </c>
      <c r="B62" t="inlineStr">
        <is>
          <t>ALPHA_EQ</t>
        </is>
      </c>
      <c r="C62" s="18">
        <f>SUMIFS(NAV_Calc!$R:$R,NAV_Calc!$B:$B,$B62,NAV_Calc!$A:$A,$A62)</f>
        <v/>
      </c>
      <c r="D62" s="18" t="n">
        <v>9.537077</v>
      </c>
      <c r="E62" s="28">
        <f>($D62-$C62)/$C62</f>
        <v/>
      </c>
      <c r="F62">
        <f>IF(ABS($E62)&lt;=$J$5,"MATCHED","NAV_BREAK")</f>
        <v/>
      </c>
      <c r="G62" s="28">
        <f>ABS($E62)</f>
        <v/>
      </c>
    </row>
    <row r="63">
      <c r="A63" s="22" t="n">
        <v>46287</v>
      </c>
      <c r="B63" t="inlineStr">
        <is>
          <t>BETA_DEBT</t>
        </is>
      </c>
      <c r="C63" s="18">
        <f>SUMIFS(NAV_Calc!$R:$R,NAV_Calc!$B:$B,$B63,NAV_Calc!$A:$A,$A63)</f>
        <v/>
      </c>
      <c r="D63" s="18" t="n">
        <v>9.540568</v>
      </c>
      <c r="E63" s="28">
        <f>($D63-$C63)/$C63</f>
        <v/>
      </c>
      <c r="F63">
        <f>IF(ABS($E63)&lt;=$J$5,"MATCHED","NAV_BREAK")</f>
        <v/>
      </c>
      <c r="G63" s="28">
        <f>ABS($E63)</f>
        <v/>
      </c>
    </row>
    <row r="64">
      <c r="A64" s="22" t="n">
        <v>46287</v>
      </c>
      <c r="B64" t="inlineStr">
        <is>
          <t>GAMMA_BAL</t>
        </is>
      </c>
      <c r="C64" s="18">
        <f>SUMIFS(NAV_Calc!$R:$R,NAV_Calc!$B:$B,$B64,NAV_Calc!$A:$A,$A64)</f>
        <v/>
      </c>
      <c r="D64" s="18" t="n">
        <v>9.458778000000001</v>
      </c>
      <c r="E64" s="28">
        <f>($D64-$C64)/$C64</f>
        <v/>
      </c>
      <c r="F64">
        <f>IF(ABS($E64)&lt;=$J$5,"MATCHED","NAV_BREAK")</f>
        <v/>
      </c>
      <c r="G64" s="28">
        <f>ABS($E64)</f>
        <v/>
      </c>
    </row>
    <row r="65">
      <c r="A65" s="22" t="n">
        <v>46288</v>
      </c>
      <c r="B65" t="inlineStr">
        <is>
          <t>ALPHA_EQ</t>
        </is>
      </c>
      <c r="C65" s="18">
        <f>SUMIFS(NAV_Calc!$R:$R,NAV_Calc!$B:$B,$B65,NAV_Calc!$A:$A,$A65)</f>
        <v/>
      </c>
      <c r="D65" s="18" t="n">
        <v>9.543172999999999</v>
      </c>
      <c r="E65" s="28">
        <f>($D65-$C65)/$C65</f>
        <v/>
      </c>
      <c r="F65">
        <f>IF(ABS($E65)&lt;=$J$5,"MATCHED","NAV_BREAK")</f>
        <v/>
      </c>
      <c r="G65" s="28">
        <f>ABS($E65)</f>
        <v/>
      </c>
    </row>
    <row r="66">
      <c r="A66" s="22" t="n">
        <v>46288</v>
      </c>
      <c r="B66" t="inlineStr">
        <is>
          <t>BETA_DEBT</t>
        </is>
      </c>
      <c r="C66" s="18">
        <f>SUMIFS(NAV_Calc!$R:$R,NAV_Calc!$B:$B,$B66,NAV_Calc!$A:$A,$A66)</f>
        <v/>
      </c>
      <c r="D66" s="18" t="n">
        <v>9.498761</v>
      </c>
      <c r="E66" s="28">
        <f>($D66-$C66)/$C66</f>
        <v/>
      </c>
      <c r="F66">
        <f>IF(ABS($E66)&lt;=$J$5,"MATCHED","NAV_BREAK")</f>
        <v/>
      </c>
      <c r="G66" s="28">
        <f>ABS($E66)</f>
        <v/>
      </c>
    </row>
    <row r="67">
      <c r="A67" s="22" t="n">
        <v>46288</v>
      </c>
      <c r="B67" t="inlineStr">
        <is>
          <t>GAMMA_BAL</t>
        </is>
      </c>
      <c r="C67" s="18">
        <f>SUMIFS(NAV_Calc!$R:$R,NAV_Calc!$B:$B,$B67,NAV_Calc!$A:$A,$A67)</f>
        <v/>
      </c>
      <c r="D67" s="18" t="n">
        <v>9.417266</v>
      </c>
      <c r="E67" s="28">
        <f>($D67-$C67)/$C67</f>
        <v/>
      </c>
      <c r="F67">
        <f>IF(ABS($E67)&lt;=$J$5,"MATCHED","NAV_BREAK")</f>
        <v/>
      </c>
      <c r="G67" s="28">
        <f>ABS($E67)</f>
        <v/>
      </c>
    </row>
    <row r="68">
      <c r="A68" s="22" t="n">
        <v>46289</v>
      </c>
      <c r="B68" t="inlineStr">
        <is>
          <t>ALPHA_EQ</t>
        </is>
      </c>
      <c r="C68" s="18">
        <f>SUMIFS(NAV_Calc!$R:$R,NAV_Calc!$B:$B,$B68,NAV_Calc!$A:$A,$A68)</f>
        <v/>
      </c>
      <c r="D68" s="18" t="n">
        <v>9.527388999999999</v>
      </c>
      <c r="E68" s="28">
        <f>($D68-$C68)/$C68</f>
        <v/>
      </c>
      <c r="F68">
        <f>IF(ABS($E68)&lt;=$J$5,"MATCHED","NAV_BREAK")</f>
        <v/>
      </c>
      <c r="G68" s="28">
        <f>ABS($E68)</f>
        <v/>
      </c>
    </row>
    <row r="69">
      <c r="A69" s="22" t="n">
        <v>46289</v>
      </c>
      <c r="B69" t="inlineStr">
        <is>
          <t>BETA_DEBT</t>
        </is>
      </c>
      <c r="C69" s="18">
        <f>SUMIFS(NAV_Calc!$R:$R,NAV_Calc!$B:$B,$B69,NAV_Calc!$A:$A,$A69)</f>
        <v/>
      </c>
      <c r="D69" s="18" t="n">
        <v>9.494902</v>
      </c>
      <c r="E69" s="28">
        <f>($D69-$C69)/$C69</f>
        <v/>
      </c>
      <c r="F69">
        <f>IF(ABS($E69)&lt;=$J$5,"MATCHED","NAV_BREAK")</f>
        <v/>
      </c>
      <c r="G69" s="28">
        <f>ABS($E69)</f>
        <v/>
      </c>
    </row>
    <row r="70">
      <c r="A70" s="22" t="n">
        <v>46289</v>
      </c>
      <c r="B70" t="inlineStr">
        <is>
          <t>GAMMA_BAL</t>
        </is>
      </c>
      <c r="C70" s="18">
        <f>SUMIFS(NAV_Calc!$R:$R,NAV_Calc!$B:$B,$B70,NAV_Calc!$A:$A,$A70)</f>
        <v/>
      </c>
      <c r="D70" s="18" t="n">
        <v>9.380169</v>
      </c>
      <c r="E70" s="28">
        <f>($D70-$C70)/$C70</f>
        <v/>
      </c>
      <c r="F70">
        <f>IF(ABS($E70)&lt;=$J$5,"MATCHED","NAV_BREAK")</f>
        <v/>
      </c>
      <c r="G70" s="28">
        <f>ABS($E70)</f>
        <v/>
      </c>
    </row>
    <row r="71">
      <c r="A71" s="22" t="n">
        <v>46290</v>
      </c>
      <c r="B71" t="inlineStr">
        <is>
          <t>ALPHA_EQ</t>
        </is>
      </c>
      <c r="C71" s="18">
        <f>SUMIFS(NAV_Calc!$R:$R,NAV_Calc!$B:$B,$B71,NAV_Calc!$A:$A,$A71)</f>
        <v/>
      </c>
      <c r="D71" s="18" t="n">
        <v>9.508811</v>
      </c>
      <c r="E71" s="28">
        <f>($D71-$C71)/$C71</f>
        <v/>
      </c>
      <c r="F71">
        <f>IF(ABS($E71)&lt;=$J$5,"MATCHED","NAV_BREAK")</f>
        <v/>
      </c>
      <c r="G71" s="28">
        <f>ABS($E71)</f>
        <v/>
      </c>
    </row>
    <row r="72">
      <c r="A72" s="22" t="n">
        <v>46290</v>
      </c>
      <c r="B72" t="inlineStr">
        <is>
          <t>BETA_DEBT</t>
        </is>
      </c>
      <c r="C72" s="18">
        <f>SUMIFS(NAV_Calc!$R:$R,NAV_Calc!$B:$B,$B72,NAV_Calc!$A:$A,$A72)</f>
        <v/>
      </c>
      <c r="D72" s="18" t="n">
        <v>9.474356</v>
      </c>
      <c r="E72" s="28">
        <f>($D72-$C72)/$C72</f>
        <v/>
      </c>
      <c r="F72">
        <f>IF(ABS($E72)&lt;=$J$5,"MATCHED","NAV_BREAK")</f>
        <v/>
      </c>
      <c r="G72" s="28">
        <f>ABS($E72)</f>
        <v/>
      </c>
    </row>
    <row r="73">
      <c r="A73" s="22" t="n">
        <v>46290</v>
      </c>
      <c r="B73" t="inlineStr">
        <is>
          <t>GAMMA_BAL</t>
        </is>
      </c>
      <c r="C73" s="18">
        <f>SUMIFS(NAV_Calc!$R:$R,NAV_Calc!$B:$B,$B73,NAV_Calc!$A:$A,$A73)</f>
        <v/>
      </c>
      <c r="D73" s="18" t="n">
        <v>9.361805</v>
      </c>
      <c r="E73" s="28">
        <f>($D73-$C73)/$C73</f>
        <v/>
      </c>
      <c r="F73">
        <f>IF(ABS($E73)&lt;=$J$5,"MATCHED","NAV_BREAK")</f>
        <v/>
      </c>
      <c r="G73" s="28">
        <f>ABS($E73)</f>
        <v/>
      </c>
    </row>
    <row r="74">
      <c r="A74" s="22" t="n">
        <v>46293</v>
      </c>
      <c r="B74" t="inlineStr">
        <is>
          <t>ALPHA_EQ</t>
        </is>
      </c>
      <c r="C74" s="18">
        <f>SUMIFS(NAV_Calc!$R:$R,NAV_Calc!$B:$B,$B74,NAV_Calc!$A:$A,$A74)</f>
        <v/>
      </c>
      <c r="D74" s="18" t="n">
        <v>9.428119000000001</v>
      </c>
      <c r="E74" s="28">
        <f>($D74-$C74)/$C74</f>
        <v/>
      </c>
      <c r="F74">
        <f>IF(ABS($E74)&lt;=$J$5,"MATCHED","NAV_BREAK")</f>
        <v/>
      </c>
      <c r="G74" s="28">
        <f>ABS($E74)</f>
        <v/>
      </c>
    </row>
    <row r="75">
      <c r="A75" s="22" t="n">
        <v>46293</v>
      </c>
      <c r="B75" t="inlineStr">
        <is>
          <t>BETA_DEBT</t>
        </is>
      </c>
      <c r="C75" s="18">
        <f>SUMIFS(NAV_Calc!$R:$R,NAV_Calc!$B:$B,$B75,NAV_Calc!$A:$A,$A75)</f>
        <v/>
      </c>
      <c r="D75" s="18" t="n">
        <v>9.454352999999999</v>
      </c>
      <c r="E75" s="28">
        <f>($D75-$C75)/$C75</f>
        <v/>
      </c>
      <c r="F75">
        <f>IF(ABS($E75)&lt;=$J$5,"MATCHED","NAV_BREAK")</f>
        <v/>
      </c>
      <c r="G75" s="28">
        <f>ABS($E75)</f>
        <v/>
      </c>
    </row>
    <row r="76">
      <c r="A76" s="22" t="n">
        <v>46293</v>
      </c>
      <c r="B76" t="inlineStr">
        <is>
          <t>GAMMA_BAL</t>
        </is>
      </c>
      <c r="C76" s="18">
        <f>SUMIFS(NAV_Calc!$R:$R,NAV_Calc!$B:$B,$B76,NAV_Calc!$A:$A,$A76)</f>
        <v/>
      </c>
      <c r="D76" s="18" t="n">
        <v>9.279126</v>
      </c>
      <c r="E76" s="28">
        <f>($D76-$C76)/$C76</f>
        <v/>
      </c>
      <c r="F76">
        <f>IF(ABS($E76)&lt;=$J$5,"MATCHED","NAV_BREAK")</f>
        <v/>
      </c>
      <c r="G76" s="28">
        <f>ABS($E76)</f>
        <v/>
      </c>
    </row>
    <row r="77">
      <c r="A77" s="22" t="n">
        <v>46294</v>
      </c>
      <c r="B77" t="inlineStr">
        <is>
          <t>ALPHA_EQ</t>
        </is>
      </c>
      <c r="C77" s="18">
        <f>SUMIFS(NAV_Calc!$R:$R,NAV_Calc!$B:$B,$B77,NAV_Calc!$A:$A,$A77)</f>
        <v/>
      </c>
      <c r="D77" s="18" t="n">
        <v>9.453996999999999</v>
      </c>
      <c r="E77" s="28">
        <f>($D77-$C77)/$C77</f>
        <v/>
      </c>
      <c r="F77">
        <f>IF(ABS($E77)&lt;=$J$5,"MATCHED","NAV_BREAK")</f>
        <v/>
      </c>
      <c r="G77" s="28">
        <f>ABS($E77)</f>
        <v/>
      </c>
    </row>
    <row r="78">
      <c r="A78" s="22" t="n">
        <v>46294</v>
      </c>
      <c r="B78" t="inlineStr">
        <is>
          <t>BETA_DEBT</t>
        </is>
      </c>
      <c r="C78" s="18">
        <f>SUMIFS(NAV_Calc!$R:$R,NAV_Calc!$B:$B,$B78,NAV_Calc!$A:$A,$A78)</f>
        <v/>
      </c>
      <c r="D78" s="18" t="n">
        <v>9.428106</v>
      </c>
      <c r="E78" s="28">
        <f>($D78-$C78)/$C78</f>
        <v/>
      </c>
      <c r="F78">
        <f>IF(ABS($E78)&lt;=$J$5,"MATCHED","NAV_BREAK")</f>
        <v/>
      </c>
      <c r="G78" s="28">
        <f>ABS($E78)</f>
        <v/>
      </c>
    </row>
    <row r="79">
      <c r="A79" s="22" t="n">
        <v>46294</v>
      </c>
      <c r="B79" t="inlineStr">
        <is>
          <t>GAMMA_BAL</t>
        </is>
      </c>
      <c r="C79" s="18">
        <f>SUMIFS(NAV_Calc!$R:$R,NAV_Calc!$B:$B,$B79,NAV_Calc!$A:$A,$A79)</f>
        <v/>
      </c>
      <c r="D79" s="18" t="n">
        <v>9.237166999999999</v>
      </c>
      <c r="E79" s="28">
        <f>($D79-$C79)/$C79</f>
        <v/>
      </c>
      <c r="F79">
        <f>IF(ABS($E79)&lt;=$J$5,"MATCHED","NAV_BREAK")</f>
        <v/>
      </c>
      <c r="G79" s="28">
        <f>ABS($E79)</f>
        <v/>
      </c>
    </row>
    <row r="80">
      <c r="A80" s="22" t="n">
        <v>46295</v>
      </c>
      <c r="B80" t="inlineStr">
        <is>
          <t>ALPHA_EQ</t>
        </is>
      </c>
      <c r="C80" s="18">
        <f>SUMIFS(NAV_Calc!$R:$R,NAV_Calc!$B:$B,$B80,NAV_Calc!$A:$A,$A80)</f>
        <v/>
      </c>
      <c r="D80" s="18" t="n">
        <v>9.507771</v>
      </c>
      <c r="E80" s="28">
        <f>($D80-$C80)/$C80</f>
        <v/>
      </c>
      <c r="F80">
        <f>IF(ABS($E80)&lt;=$J$5,"MATCHED","NAV_BREAK")</f>
        <v/>
      </c>
      <c r="G80" s="28">
        <f>ABS($E80)</f>
        <v/>
      </c>
    </row>
    <row r="81">
      <c r="A81" s="22" t="n">
        <v>46295</v>
      </c>
      <c r="B81" t="inlineStr">
        <is>
          <t>BETA_DEBT</t>
        </is>
      </c>
      <c r="C81" s="18">
        <f>SUMIFS(NAV_Calc!$R:$R,NAV_Calc!$B:$B,$B81,NAV_Calc!$A:$A,$A81)</f>
        <v/>
      </c>
      <c r="D81" s="18" t="n">
        <v>9.415486</v>
      </c>
      <c r="E81" s="28">
        <f>($D81-$C81)/$C81</f>
        <v/>
      </c>
      <c r="F81">
        <f>IF(ABS($E81)&lt;=$J$5,"MATCHED","NAV_BREAK")</f>
        <v/>
      </c>
      <c r="G81" s="28">
        <f>ABS($E81)</f>
        <v/>
      </c>
    </row>
    <row r="82">
      <c r="A82" s="22" t="n">
        <v>46295</v>
      </c>
      <c r="B82" t="inlineStr">
        <is>
          <t>GAMMA_BAL</t>
        </is>
      </c>
      <c r="C82" s="18">
        <f>SUMIFS(NAV_Calc!$R:$R,NAV_Calc!$B:$B,$B82,NAV_Calc!$A:$A,$A82)</f>
        <v/>
      </c>
      <c r="D82" s="18" t="n">
        <v>9.233421999999999</v>
      </c>
      <c r="E82" s="28">
        <f>($D82-$C82)/$C82</f>
        <v/>
      </c>
      <c r="F82">
        <f>IF(ABS($E82)&lt;=$J$5,"MATCHED","NAV_BREAK")</f>
        <v/>
      </c>
      <c r="G82" s="28">
        <f>ABS($E82)</f>
        <v/>
      </c>
    </row>
    <row r="83">
      <c r="A83" s="22" t="n">
        <v>46296</v>
      </c>
      <c r="B83" t="inlineStr">
        <is>
          <t>ALPHA_EQ</t>
        </is>
      </c>
      <c r="C83" s="18">
        <f>SUMIFS(NAV_Calc!$R:$R,NAV_Calc!$B:$B,$B83,NAV_Calc!$A:$A,$A83)</f>
        <v/>
      </c>
      <c r="D83" s="18" t="n">
        <v>9.527509999999999</v>
      </c>
      <c r="E83" s="28">
        <f>($D83-$C83)/$C83</f>
        <v/>
      </c>
      <c r="F83">
        <f>IF(ABS($E83)&lt;=$J$5,"MATCHED","NAV_BREAK")</f>
        <v/>
      </c>
      <c r="G83" s="28">
        <f>ABS($E83)</f>
        <v/>
      </c>
    </row>
    <row r="84">
      <c r="A84" s="22" t="n">
        <v>46296</v>
      </c>
      <c r="B84" t="inlineStr">
        <is>
          <t>BETA_DEBT</t>
        </is>
      </c>
      <c r="C84" s="18">
        <f>SUMIFS(NAV_Calc!$R:$R,NAV_Calc!$B:$B,$B84,NAV_Calc!$A:$A,$A84)</f>
        <v/>
      </c>
      <c r="D84" s="18" t="n">
        <v>9.41194</v>
      </c>
      <c r="E84" s="28">
        <f>($D84-$C84)/$C84</f>
        <v/>
      </c>
      <c r="F84">
        <f>IF(ABS($E84)&lt;=$J$5,"MATCHED","NAV_BREAK")</f>
        <v/>
      </c>
      <c r="G84" s="28">
        <f>ABS($E84)</f>
        <v/>
      </c>
    </row>
    <row r="85">
      <c r="A85" s="22" t="n">
        <v>46296</v>
      </c>
      <c r="B85" t="inlineStr">
        <is>
          <t>GAMMA_BAL</t>
        </is>
      </c>
      <c r="C85" s="18">
        <f>SUMIFS(NAV_Calc!$R:$R,NAV_Calc!$B:$B,$B85,NAV_Calc!$A:$A,$A85)</f>
        <v/>
      </c>
      <c r="D85" s="18" t="n">
        <v>9.214122</v>
      </c>
      <c r="E85" s="28">
        <f>($D85-$C85)/$C85</f>
        <v/>
      </c>
      <c r="F85">
        <f>IF(ABS($E85)&lt;=$J$5,"MATCHED","NAV_BREAK")</f>
        <v/>
      </c>
      <c r="G85" s="28">
        <f>ABS($E85)</f>
        <v/>
      </c>
    </row>
    <row r="86">
      <c r="A86" s="22" t="n">
        <v>46297</v>
      </c>
      <c r="B86" t="inlineStr">
        <is>
          <t>ALPHA_EQ</t>
        </is>
      </c>
      <c r="C86" s="18">
        <f>SUMIFS(NAV_Calc!$R:$R,NAV_Calc!$B:$B,$B86,NAV_Calc!$A:$A,$A86)</f>
        <v/>
      </c>
      <c r="D86" s="18" t="n">
        <v>9.496706</v>
      </c>
      <c r="E86" s="28">
        <f>($D86-$C86)/$C86</f>
        <v/>
      </c>
      <c r="F86">
        <f>IF(ABS($E86)&lt;=$J$5,"MATCHED","NAV_BREAK")</f>
        <v/>
      </c>
      <c r="G86" s="28">
        <f>ABS($E86)</f>
        <v/>
      </c>
    </row>
    <row r="87">
      <c r="A87" s="22" t="n">
        <v>46297</v>
      </c>
      <c r="B87" t="inlineStr">
        <is>
          <t>BETA_DEBT</t>
        </is>
      </c>
      <c r="C87" s="18">
        <f>SUMIFS(NAV_Calc!$R:$R,NAV_Calc!$B:$B,$B87,NAV_Calc!$A:$A,$A87)</f>
        <v/>
      </c>
      <c r="D87" s="18" t="n">
        <v>9.384116000000001</v>
      </c>
      <c r="E87" s="28">
        <f>($D87-$C87)/$C87</f>
        <v/>
      </c>
      <c r="F87">
        <f>IF(ABS($E87)&lt;=$J$5,"MATCHED","NAV_BREAK")</f>
        <v/>
      </c>
      <c r="G87" s="28">
        <f>ABS($E87)</f>
        <v/>
      </c>
    </row>
    <row r="88">
      <c r="A88" s="22" t="n">
        <v>46297</v>
      </c>
      <c r="B88" t="inlineStr">
        <is>
          <t>GAMMA_BAL</t>
        </is>
      </c>
      <c r="C88" s="18">
        <f>SUMIFS(NAV_Calc!$R:$R,NAV_Calc!$B:$B,$B88,NAV_Calc!$A:$A,$A88)</f>
        <v/>
      </c>
      <c r="D88" s="18" t="n">
        <v>9.179138</v>
      </c>
      <c r="E88" s="28">
        <f>($D88-$C88)/$C88</f>
        <v/>
      </c>
      <c r="F88">
        <f>IF(ABS($E88)&lt;=$J$5,"MATCHED","NAV_BREAK")</f>
        <v/>
      </c>
      <c r="G88" s="28">
        <f>ABS($E88)</f>
        <v/>
      </c>
    </row>
    <row r="89">
      <c r="A89" s="22" t="n">
        <v>46300</v>
      </c>
      <c r="B89" t="inlineStr">
        <is>
          <t>ALPHA_EQ</t>
        </is>
      </c>
      <c r="C89" s="18">
        <f>SUMIFS(NAV_Calc!$R:$R,NAV_Calc!$B:$B,$B89,NAV_Calc!$A:$A,$A89)</f>
        <v/>
      </c>
      <c r="D89" s="18" t="n">
        <v>9.547955999999999</v>
      </c>
      <c r="E89" s="28">
        <f>($D89-$C89)/$C89</f>
        <v/>
      </c>
      <c r="F89">
        <f>IF(ABS($E89)&lt;=$J$5,"MATCHED","NAV_BREAK")</f>
        <v/>
      </c>
      <c r="G89" s="28">
        <f>ABS($E89)</f>
        <v/>
      </c>
    </row>
    <row r="90">
      <c r="A90" s="22" t="n">
        <v>46300</v>
      </c>
      <c r="B90" t="inlineStr">
        <is>
          <t>BETA_DEBT</t>
        </is>
      </c>
      <c r="C90" s="18">
        <f>SUMIFS(NAV_Calc!$R:$R,NAV_Calc!$B:$B,$B90,NAV_Calc!$A:$A,$A90)</f>
        <v/>
      </c>
      <c r="D90" s="18" t="n">
        <v>9.372566000000001</v>
      </c>
      <c r="E90" s="28">
        <f>($D90-$C90)/$C90</f>
        <v/>
      </c>
      <c r="F90">
        <f>IF(ABS($E90)&lt;=$J$5,"MATCHED","NAV_BREAK")</f>
        <v/>
      </c>
      <c r="G90" s="28">
        <f>ABS($E90)</f>
        <v/>
      </c>
    </row>
    <row r="91">
      <c r="A91" s="22" t="n">
        <v>46300</v>
      </c>
      <c r="B91" t="inlineStr">
        <is>
          <t>GAMMA_BAL</t>
        </is>
      </c>
      <c r="C91" s="18">
        <f>SUMIFS(NAV_Calc!$R:$R,NAV_Calc!$B:$B,$B91,NAV_Calc!$A:$A,$A91)</f>
        <v/>
      </c>
      <c r="D91" s="18" t="n">
        <v>9.185587</v>
      </c>
      <c r="E91" s="28">
        <f>($D91-$C91)/$C91</f>
        <v/>
      </c>
      <c r="F91">
        <f>IF(ABS($E91)&lt;=$J$5,"MATCHED","NAV_BREAK")</f>
        <v/>
      </c>
      <c r="G91" s="28">
        <f>ABS($E91)</f>
        <v/>
      </c>
    </row>
    <row r="92">
      <c r="A92" s="22" t="n">
        <v>46301</v>
      </c>
      <c r="B92" t="inlineStr">
        <is>
          <t>ALPHA_EQ</t>
        </is>
      </c>
      <c r="C92" s="18">
        <f>SUMIFS(NAV_Calc!$R:$R,NAV_Calc!$B:$B,$B92,NAV_Calc!$A:$A,$A92)</f>
        <v/>
      </c>
      <c r="D92" s="18" t="n">
        <v>9.560259</v>
      </c>
      <c r="E92" s="28">
        <f>($D92-$C92)/$C92</f>
        <v/>
      </c>
      <c r="F92">
        <f>IF(ABS($E92)&lt;=$J$5,"MATCHED","NAV_BREAK")</f>
        <v/>
      </c>
      <c r="G92" s="28">
        <f>ABS($E92)</f>
        <v/>
      </c>
    </row>
    <row r="93">
      <c r="A93" s="22" t="n">
        <v>46301</v>
      </c>
      <c r="B93" t="inlineStr">
        <is>
          <t>BETA_DEBT</t>
        </is>
      </c>
      <c r="C93" s="18">
        <f>SUMIFS(NAV_Calc!$R:$R,NAV_Calc!$B:$B,$B93,NAV_Calc!$A:$A,$A93)</f>
        <v/>
      </c>
      <c r="D93" s="18" t="n">
        <v>9.354638</v>
      </c>
      <c r="E93" s="28">
        <f>($D93-$C93)/$C93</f>
        <v/>
      </c>
      <c r="F93">
        <f>IF(ABS($E93)&lt;=$J$5,"MATCHED","NAV_BREAK")</f>
        <v/>
      </c>
      <c r="G93" s="28">
        <f>ABS($E93)</f>
        <v/>
      </c>
    </row>
    <row r="94">
      <c r="A94" s="22" t="n">
        <v>46301</v>
      </c>
      <c r="B94" t="inlineStr">
        <is>
          <t>GAMMA_BAL</t>
        </is>
      </c>
      <c r="C94" s="18">
        <f>SUMIFS(NAV_Calc!$R:$R,NAV_Calc!$B:$B,$B94,NAV_Calc!$A:$A,$A94)</f>
        <v/>
      </c>
      <c r="D94" s="18" t="n">
        <v>9.19379</v>
      </c>
      <c r="E94" s="28">
        <f>($D94-$C94)/$C94</f>
        <v/>
      </c>
      <c r="F94">
        <f>IF(ABS($E94)&lt;=$J$5,"MATCHED","NAV_BREAK")</f>
        <v/>
      </c>
      <c r="G94" s="28">
        <f>ABS($E94)</f>
        <v/>
      </c>
    </row>
  </sheetData>
  <mergeCells count="2">
    <mergeCell ref="A2:G2"/>
    <mergeCell ref="A1:G1"/>
  </mergeCells>
  <conditionalFormatting sqref="F5:F94">
    <cfRule type="cellIs" priority="1" operator="equal" dxfId="0">
      <formula>"MATCHED"</formula>
    </cfRule>
    <cfRule type="expression" priority="2" dxfId="1">
      <formula>ISNUMBER(SEARCH("BREAK",F5))</formula>
    </cfRule>
    <cfRule type="cellIs" priority="3" operator="equal" dxfId="2">
      <formula>"MISSING_IN_CUSTODIAN"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2" customWidth="1" min="5" max="5"/>
    <col width="9" customWidth="1" min="6" max="6"/>
    <col width="22" customWidth="1" min="7" max="7"/>
    <col width="12" customWidth="1" min="8" max="8"/>
    <col width="13" customWidth="1" min="9" max="9"/>
    <col width="12" customWidth="1" min="10" max="10"/>
    <col width="13" customWidth="1" min="11" max="11"/>
    <col width="10" customWidth="1" min="12" max="12"/>
    <col width="8" customWidth="1" min="13" max="13"/>
    <col width="12" customWidth="1" min="14" max="14"/>
    <col width="18" customWidth="1" min="15" max="15"/>
    <col width="9" customWidth="1" min="16" max="16"/>
    <col width="52" customWidth="1" min="17" max="17"/>
  </cols>
  <sheetData>
    <row r="1" ht="30" customHeight="1">
      <c r="A1" s="1" t="inlineStr">
        <is>
          <t>CONSOLIDATED OPEN BREAKS (CONTROL LOG)</t>
        </is>
      </c>
    </row>
    <row r="2" ht="16" customHeight="1">
      <c r="A2" s="2" t="inlineStr">
        <is>
          <t>Ageing (NETWORKDAYS) and SLA status are live formulas vs Dashboard!C4</t>
        </is>
      </c>
    </row>
    <row r="4">
      <c r="A4" s="17" t="inlineStr">
        <is>
          <t>break_id</t>
        </is>
      </c>
      <c r="B4" s="17" t="inlineStr">
        <is>
          <t>detected_date</t>
        </is>
      </c>
      <c r="C4" s="17" t="inlineStr">
        <is>
          <t>fund_code</t>
        </is>
      </c>
      <c r="D4" s="17" t="inlineStr">
        <is>
          <t>recon_source</t>
        </is>
      </c>
      <c r="E4" s="17" t="inlineStr">
        <is>
          <t>break_type</t>
        </is>
      </c>
      <c r="F4" s="17" t="inlineStr">
        <is>
          <t>severity</t>
        </is>
      </c>
      <c r="G4" s="17" t="inlineStr">
        <is>
          <t>ref_key</t>
        </is>
      </c>
      <c r="H4" s="17" t="inlineStr">
        <is>
          <t>book_value</t>
        </is>
      </c>
      <c r="I4" s="17" t="inlineStr">
        <is>
          <t>external_value</t>
        </is>
      </c>
      <c r="J4" s="17" t="inlineStr">
        <is>
          <t>diff_value</t>
        </is>
      </c>
      <c r="K4" s="17" t="inlineStr">
        <is>
          <t>impact_inr</t>
        </is>
      </c>
      <c r="L4" s="17" t="inlineStr">
        <is>
          <t>age_business_days</t>
        </is>
      </c>
      <c r="M4" s="17" t="inlineStr">
        <is>
          <t>sla_days</t>
        </is>
      </c>
      <c r="N4" s="17" t="inlineStr">
        <is>
          <t>sla_status</t>
        </is>
      </c>
      <c r="O4" s="17" t="inlineStr">
        <is>
          <t>owner</t>
        </is>
      </c>
      <c r="P4" s="17" t="inlineStr">
        <is>
          <t>status</t>
        </is>
      </c>
      <c r="Q4" s="17" t="inlineStr">
        <is>
          <t>note</t>
        </is>
      </c>
    </row>
    <row r="5">
      <c r="A5" t="inlineStr">
        <is>
          <t>BRK-001</t>
        </is>
      </c>
      <c r="B5" s="22" t="n">
        <v>46295</v>
      </c>
      <c r="C5" t="inlineStr">
        <is>
          <t>GAMMA_BAL</t>
        </is>
      </c>
      <c r="D5" t="inlineStr">
        <is>
          <t>RTA</t>
        </is>
      </c>
      <c r="E5" t="inlineStr">
        <is>
          <t>NAV_BREAK</t>
        </is>
      </c>
      <c r="F5" t="inlineStr">
        <is>
          <t>High</t>
        </is>
      </c>
      <c r="G5" t="inlineStr">
        <is>
          <t>GAMMA_BAL|2026-09-30</t>
        </is>
      </c>
      <c r="H5" s="32" t="n">
        <v>9.226041</v>
      </c>
      <c r="I5" s="32" t="n">
        <v>9.233421999999999</v>
      </c>
      <c r="J5" s="32" t="n">
        <v>0.00080002</v>
      </c>
      <c r="K5" s="20" t="n">
        <v>110084.64</v>
      </c>
      <c r="L5" s="33">
        <f>NETWORKDAYS($B5,Dashboard!$C$4)-1</f>
        <v/>
      </c>
      <c r="M5" t="n">
        <v>1</v>
      </c>
      <c r="N5">
        <f>IF($L5&gt;$M5,"SLA_BREACH","OK")</f>
        <v/>
      </c>
      <c r="O5" t="inlineStr">
        <is>
          <t>RTA Ops Team</t>
        </is>
      </c>
      <c r="P5" t="inlineStr">
        <is>
          <t>OPEN</t>
        </is>
      </c>
      <c r="Q5" t="inlineStr">
        <is>
          <t>Published NAV 8 bps off - carried forward, SLA breach</t>
        </is>
      </c>
    </row>
    <row r="6">
      <c r="A6" t="inlineStr">
        <is>
          <t>BRK-002</t>
        </is>
      </c>
      <c r="B6" s="22" t="n">
        <v>46300</v>
      </c>
      <c r="C6" t="inlineStr">
        <is>
          <t>ALPHA_EQ</t>
        </is>
      </c>
      <c r="D6" t="inlineStr">
        <is>
          <t>CUSTODIAN</t>
        </is>
      </c>
      <c r="E6" t="inlineStr">
        <is>
          <t>QTY_BREAK</t>
        </is>
      </c>
      <c r="F6" t="inlineStr">
        <is>
          <t>High</t>
        </is>
      </c>
      <c r="G6" t="inlineStr">
        <is>
          <t>ALPHA_EQ|HDFCBANK</t>
        </is>
      </c>
      <c r="H6" s="32" t="n">
        <v>600</v>
      </c>
      <c r="I6" s="32" t="n">
        <v>650</v>
      </c>
      <c r="J6" s="32" t="n">
        <v>-50</v>
      </c>
      <c r="K6" s="20" t="n">
        <v>85350.89</v>
      </c>
      <c r="L6" s="33">
        <f>NETWORKDAYS($B6,Dashboard!$C$4)-1</f>
        <v/>
      </c>
      <c r="M6" t="n">
        <v>1</v>
      </c>
      <c r="N6">
        <f>IF($L6&gt;$M6,"SLA_BREACH","OK")</f>
        <v/>
      </c>
      <c r="O6" t="inlineStr">
        <is>
          <t>Custodian Ops Team</t>
        </is>
      </c>
      <c r="P6" t="inlineStr">
        <is>
          <t>OPEN</t>
        </is>
      </c>
      <c r="Q6" t="inlineStr">
        <is>
          <t>Custodian shows 50 units more - missing sell in books</t>
        </is>
      </c>
    </row>
    <row r="7">
      <c r="A7" t="inlineStr">
        <is>
          <t>BRK-003</t>
        </is>
      </c>
      <c r="B7" s="22" t="n">
        <v>46300</v>
      </c>
      <c r="C7" t="inlineStr">
        <is>
          <t>BETA_DEBT</t>
        </is>
      </c>
      <c r="D7" t="inlineStr">
        <is>
          <t>CUSTODIAN</t>
        </is>
      </c>
      <c r="E7" t="inlineStr">
        <is>
          <t>MISSING_IN_CUSTODIAN</t>
        </is>
      </c>
      <c r="F7" t="inlineStr">
        <is>
          <t>High</t>
        </is>
      </c>
      <c r="G7" t="inlineStr">
        <is>
          <t>BETA_DEBT|NCD-REL</t>
        </is>
      </c>
      <c r="H7" s="32" t="n">
        <v>22600</v>
      </c>
      <c r="K7" s="20" t="n">
        <v>22136449.14</v>
      </c>
      <c r="L7" s="33">
        <f>NETWORKDAYS($B7,Dashboard!$C$4)-1</f>
        <v/>
      </c>
      <c r="M7" t="n">
        <v>1</v>
      </c>
      <c r="N7">
        <f>IF($L7&gt;$M7,"SLA_BREACH","OK")</f>
        <v/>
      </c>
      <c r="O7" t="inlineStr">
        <is>
          <t>Custodian Ops Team</t>
        </is>
      </c>
      <c r="P7" t="inlineStr">
        <is>
          <t>OPEN</t>
        </is>
      </c>
      <c r="Q7" t="inlineStr">
        <is>
          <t>Holding not reported by custodian</t>
        </is>
      </c>
    </row>
    <row r="8">
      <c r="A8" t="inlineStr">
        <is>
          <t>BRK-004</t>
        </is>
      </c>
      <c r="B8" s="22" t="n">
        <v>46300</v>
      </c>
      <c r="C8" t="inlineStr">
        <is>
          <t>GAMMA_BAL</t>
        </is>
      </c>
      <c r="D8" t="inlineStr">
        <is>
          <t>CUSTODIAN</t>
        </is>
      </c>
      <c r="E8" t="inlineStr">
        <is>
          <t>PRICE_BREAK</t>
        </is>
      </c>
      <c r="F8" t="inlineStr">
        <is>
          <t>Medium</t>
        </is>
      </c>
      <c r="G8" t="inlineStr">
        <is>
          <t>GAMMA_BAL|MARUTI</t>
        </is>
      </c>
      <c r="H8" s="32" t="n">
        <v>19700</v>
      </c>
      <c r="I8" s="32" t="n">
        <v>19700</v>
      </c>
      <c r="J8" s="32" t="n">
        <v>0</v>
      </c>
      <c r="K8" s="20" t="n">
        <v>170696.56</v>
      </c>
      <c r="L8" s="33">
        <f>NETWORKDAYS($B8,Dashboard!$C$4)-1</f>
        <v/>
      </c>
      <c r="M8" t="n">
        <v>1</v>
      </c>
      <c r="N8">
        <f>IF($L8&gt;$M8,"SLA_BREACH","OK")</f>
        <v/>
      </c>
      <c r="O8" t="inlineStr">
        <is>
          <t>Custodian Ops Team</t>
        </is>
      </c>
      <c r="P8" t="inlineStr">
        <is>
          <t>OPEN</t>
        </is>
      </c>
      <c r="Q8" t="inlineStr">
        <is>
          <t>Custodian price 0.5% off EOD close</t>
        </is>
      </c>
    </row>
    <row r="9">
      <c r="A9" t="inlineStr">
        <is>
          <t>BRK-005</t>
        </is>
      </c>
      <c r="B9" s="22" t="n">
        <v>46301</v>
      </c>
      <c r="C9" t="inlineStr">
        <is>
          <t>ALPHA_EQ</t>
        </is>
      </c>
      <c r="D9" t="inlineStr">
        <is>
          <t>BANK</t>
        </is>
      </c>
      <c r="E9" t="inlineStr">
        <is>
          <t>AMOUNT_BREAK</t>
        </is>
      </c>
      <c r="F9" t="inlineStr">
        <is>
          <t>Medium</t>
        </is>
      </c>
      <c r="G9" t="inlineStr">
        <is>
          <t>ALPHA_EQ|CASH</t>
        </is>
      </c>
      <c r="H9" s="32" t="n">
        <v>-4015829.86</v>
      </c>
      <c r="I9" s="32" t="n">
        <v>-4028329.86</v>
      </c>
      <c r="J9" s="32" t="n">
        <v>12500</v>
      </c>
      <c r="K9" s="20" t="n">
        <v>12500</v>
      </c>
      <c r="L9" s="33">
        <f>NETWORKDAYS($B9,Dashboard!$C$4)-1</f>
        <v/>
      </c>
      <c r="M9" t="n">
        <v>1</v>
      </c>
      <c r="N9">
        <f>IF($L9&gt;$M9,"SLA_BREACH","OK")</f>
        <v/>
      </c>
      <c r="O9" t="inlineStr">
        <is>
          <t>Banking Ops Team</t>
        </is>
      </c>
      <c r="P9" t="inlineStr">
        <is>
          <t>OPEN</t>
        </is>
      </c>
      <c r="Q9" t="inlineStr">
        <is>
          <t>Mgmt fee debit missing in bank statement</t>
        </is>
      </c>
    </row>
  </sheetData>
  <mergeCells count="2">
    <mergeCell ref="A2:Q2"/>
    <mergeCell ref="A1:Q1"/>
  </mergeCells>
  <conditionalFormatting sqref="N5:N9">
    <cfRule type="cellIs" priority="1" operator="equal" dxfId="1">
      <formula>"SLA_BREACH"</formula>
    </cfRule>
    <cfRule type="cellIs" priority="2" operator="equal" dxfId="0">
      <formula>"OK"</formula>
    </cfRule>
  </conditionalFormatting>
  <conditionalFormatting sqref="P5:P9">
    <cfRule type="cellIs" priority="3" operator="equal" dxfId="2">
      <formula>"OPEN"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2" customWidth="1" min="4" max="4"/>
    <col width="11" customWidth="1" min="5" max="5"/>
    <col width="18" customWidth="1" min="6" max="6"/>
    <col width="40" customWidth="1" min="7" max="7"/>
  </cols>
  <sheetData>
    <row r="1" ht="30" customHeight="1">
      <c r="A1" s="1" t="inlineStr">
        <is>
          <t>RECONCILIATION CONTROL PANEL (CHK01 - CHK05)</t>
        </is>
      </c>
    </row>
    <row r="2" ht="16" customHeight="1">
      <c r="A2" s="2" t="inlineStr">
        <is>
          <t>All actuals are live formulas over the recon sheets</t>
        </is>
      </c>
    </row>
    <row r="4">
      <c r="A4" s="17" t="inlineStr">
        <is>
          <t>rule_code</t>
        </is>
      </c>
      <c r="B4" s="17" t="inlineStr">
        <is>
          <t>rule_name</t>
        </is>
      </c>
      <c r="C4" s="17" t="inlineStr">
        <is>
          <t>actual (formula)</t>
        </is>
      </c>
      <c r="D4" s="17" t="inlineStr">
        <is>
          <t>threshold</t>
        </is>
      </c>
      <c r="E4" s="17" t="inlineStr">
        <is>
          <t>comparison</t>
        </is>
      </c>
      <c r="F4" s="17" t="inlineStr">
        <is>
          <t>status</t>
        </is>
      </c>
      <c r="G4" s="17" t="inlineStr">
        <is>
          <t>comment</t>
        </is>
      </c>
    </row>
    <row r="5">
      <c r="A5" t="inlineStr">
        <is>
          <t>CHK01</t>
        </is>
      </c>
      <c r="B5" t="inlineStr">
        <is>
          <t>Holdings recon match rate &gt;= 99%</t>
        </is>
      </c>
      <c r="C5" s="34">
        <f>COUNTIF(Recon_Holdings!$I$5:$I$21,"MATCHED")/COUNTA(Recon_Holdings!$A$5:$A$21)</f>
        <v/>
      </c>
      <c r="D5" s="34" t="n">
        <v>0.99</v>
      </c>
      <c r="E5" t="inlineStr">
        <is>
          <t>&gt;=</t>
        </is>
      </c>
      <c r="F5">
        <f>IF($C5&gt;=$D5,"PASS","FAIL")</f>
        <v/>
      </c>
      <c r="G5" t="inlineStr">
        <is>
          <t>Holdings match rate (books vs custodian)</t>
        </is>
      </c>
    </row>
    <row r="6">
      <c r="A6" t="inlineStr">
        <is>
          <t>CHK02</t>
        </is>
      </c>
      <c r="B6" t="inlineStr">
        <is>
          <t>Cash recon - zero unmatched items</t>
        </is>
      </c>
      <c r="C6" s="33">
        <f>COUNTIF(Recon_Cash!$E$5:$E$7,"AMOUNT_BREAK")</f>
        <v/>
      </c>
      <c r="D6" s="33" t="n">
        <v>0</v>
      </c>
      <c r="E6" t="inlineStr">
        <is>
          <t>&lt;=</t>
        </is>
      </c>
      <c r="F6">
        <f>IF($C6&lt;=$D6,"PASS","FAIL")</f>
        <v/>
      </c>
      <c r="G6" t="inlineStr">
        <is>
          <t>Unmatched cash items (books vs bank)</t>
        </is>
      </c>
    </row>
    <row r="7">
      <c r="A7" t="inlineStr">
        <is>
          <t>CHK03</t>
        </is>
      </c>
      <c r="B7" t="inlineStr">
        <is>
          <t>Max |NAV variance| vs RTA &lt;= 0.05%</t>
        </is>
      </c>
      <c r="C7" s="28">
        <f>MAX(Recon_NAV!$G$5:$G$94)</f>
        <v/>
      </c>
      <c r="D7" s="28" t="n">
        <v>0.0005</v>
      </c>
      <c r="E7" t="inlineStr">
        <is>
          <t>&lt;=</t>
        </is>
      </c>
      <c r="F7">
        <f>IF($C7&lt;=$D7,"PASS","FAIL")</f>
        <v/>
      </c>
      <c r="G7" t="inlineStr">
        <is>
          <t>Worst daily NAV variance vs RTA</t>
        </is>
      </c>
    </row>
    <row r="8">
      <c r="A8" t="inlineStr">
        <is>
          <t>CHK04</t>
        </is>
      </c>
      <c r="B8" t="inlineStr">
        <is>
          <t>Open SLA-breaching breaks = 0</t>
        </is>
      </c>
      <c r="C8" s="33">
        <f>COUNTIF(Recon_Breaks!$N$5:$N$9,"SLA_BREACH")</f>
        <v/>
      </c>
      <c r="D8" s="33" t="n">
        <v>0</v>
      </c>
      <c r="E8" t="inlineStr">
        <is>
          <t>&lt;=</t>
        </is>
      </c>
      <c r="F8">
        <f>IF($C8&lt;=$D8,"PASS","FAIL")</f>
        <v/>
      </c>
      <c r="G8" t="inlineStr">
        <is>
          <t>Breaks older than T+1 SLA</t>
        </is>
      </c>
    </row>
    <row r="9">
      <c r="A9" t="inlineStr">
        <is>
          <t>CHK05</t>
        </is>
      </c>
      <c r="B9" t="inlineStr">
        <is>
          <t>100% of open breaks have an owner</t>
        </is>
      </c>
      <c r="C9" s="33">
        <f>IF(COUNTBLANK(Recon_Breaks!$O$5:$O$9)=0,1,0)</f>
        <v/>
      </c>
      <c r="D9" s="33" t="n">
        <v>1</v>
      </c>
      <c r="E9" t="inlineStr">
        <is>
          <t>&gt;=</t>
        </is>
      </c>
      <c r="F9">
        <f>IF($C9&gt;=$D9,"PASS","FAIL")</f>
        <v/>
      </c>
      <c r="G9" t="inlineStr">
        <is>
          <t>Ownership coverage on open breaks</t>
        </is>
      </c>
    </row>
    <row r="11">
      <c r="B11" s="27" t="inlineStr">
        <is>
          <t>OVERALL</t>
        </is>
      </c>
      <c r="F11" s="27">
        <f>IF(COUNTIF($F$5:$F$9,"PASS")=5,"ALL CONTROLS PASS","CONTROL ALERT")</f>
        <v/>
      </c>
    </row>
  </sheetData>
  <mergeCells count="2">
    <mergeCell ref="A2:G2"/>
    <mergeCell ref="A1:G1"/>
  </mergeCells>
  <conditionalFormatting sqref="F5:F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11">
    <cfRule type="expression" priority="3" dxfId="1">
      <formula>ISNUMBER(SEARCH("ALERT",F11))</formula>
    </cfRule>
    <cfRule type="expression" priority="4" dxfId="0">
      <formula>ISNUMBER(SEARCH("PASS",F11))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2026-10-07T10:22:32Z</dcterms:created>
  <dcterms:modified xmlns:dcterms="http://purl.org/dc/terms/" xmlns:xsi="http://www.w3.org/2001/XMLSchema-instance" xsi:type="dcterms:W3CDTF">2026-10-07T10:22:32Z</dcterms:modified>
</cp:coreProperties>
</file>